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93e46a4a03755bf4/Nova IMS/Project/nlp_project/mscProjectDocSimilarity/goldStandardViolations_/Results/"/>
    </mc:Choice>
  </mc:AlternateContent>
  <xr:revisionPtr revIDLastSave="12" documentId="8_{D7F5DC81-E924-4B80-A1E3-3FBD180125F5}" xr6:coauthVersionLast="47" xr6:coauthVersionMax="47" xr10:uidLastSave="{B4864923-C46E-43A8-87FC-C1DEB44FA0A0}"/>
  <bookViews>
    <workbookView minimized="1" xWindow="-24750" yWindow="2970" windowWidth="21600" windowHeight="11775" activeTab="1" xr2:uid="{1F313A4E-A795-4747-8E78-192BDE47EFC5}"/>
  </bookViews>
  <sheets>
    <sheet name="Home" sheetId="1" r:id="rId1"/>
    <sheet name="Similaridade" sheetId="2" r:id="rId2"/>
    <sheet name="InfracoesData" sheetId="3" r:id="rId3"/>
  </sheets>
  <definedNames>
    <definedName name="_xlnm._FilterDatabase" localSheetId="1" hidden="1">Similaridade!$B$1:$C$1226</definedName>
    <definedName name="dynSim">InfracoesData!$F$2:$F$7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2" l="1"/>
  <c r="F7" i="2"/>
  <c r="F6" i="2"/>
  <c r="F5" i="2"/>
  <c r="F4" i="2"/>
  <c r="F3" i="2"/>
  <c r="G1174" i="2"/>
  <c r="G1175" i="2"/>
  <c r="G1176" i="2"/>
  <c r="G1177" i="2"/>
  <c r="G1178" i="2"/>
  <c r="G1173" i="2"/>
  <c r="G1180" i="2" l="1"/>
</calcChain>
</file>

<file path=xl/sharedStrings.xml><?xml version="1.0" encoding="utf-8"?>
<sst xmlns="http://schemas.openxmlformats.org/spreadsheetml/2006/main" count="164" uniqueCount="134">
  <si>
    <t>Número</t>
  </si>
  <si>
    <t>Falta</t>
  </si>
  <si>
    <t>Disp Infringido</t>
  </si>
  <si>
    <t>Texto</t>
  </si>
  <si>
    <t>Similaridades</t>
  </si>
  <si>
    <t>Inf A</t>
  </si>
  <si>
    <t>Inf B</t>
  </si>
  <si>
    <t>Sim</t>
  </si>
  <si>
    <t>Este projeto de conclusão do mestrado em Data Science &amp; Advanced Analytics visa a auxiliar o processo de julgamento de processos sancionadores na SUSEP através da predição e sugestão dos resultados dos julgamentos e da identificação de infrações similares, facilitando a formação e o uso da jurisprudência. O escopo do projeto inclui extrair e utilizar dados do SEI e do SISPEN, tratar o conteúdo textual usando técnicas de processamento de linguagem natural (NLP) e aplicar aprendizagem de máquina.</t>
  </si>
  <si>
    <t>Desde já agradeço pela sua colaboração.</t>
  </si>
  <si>
    <r>
      <rPr>
        <u/>
        <sz val="11"/>
        <color theme="1"/>
        <rFont val="Calibri"/>
        <family val="2"/>
        <scheme val="minor"/>
      </rPr>
      <t>Instruções:</t>
    </r>
    <r>
      <rPr>
        <sz val="11"/>
        <color theme="1"/>
        <rFont val="Calibri"/>
        <family val="2"/>
        <scheme val="minor"/>
      </rPr>
      <t xml:space="preserve"> Clique no botão abaixo para iniciar. Na coluna à direita (Similaridades) serão exibidos os pares de infrações. Clique em qualquer um deles para visualizar a Falta, o Dispositivo Infringido e o Texto correspondentes. A similaridade é atribuída selecionando o valor entre 1 e 10 na caixa de seleção </t>
    </r>
    <r>
      <rPr>
        <b/>
        <sz val="11"/>
        <color theme="1"/>
        <rFont val="Calibri"/>
        <family val="2"/>
        <scheme val="minor"/>
      </rPr>
      <t>Similaridade</t>
    </r>
    <r>
      <rPr>
        <sz val="11"/>
        <color theme="1"/>
        <rFont val="Calibri"/>
        <family val="2"/>
        <scheme val="minor"/>
      </rPr>
      <t xml:space="preserve">, clicando no botão </t>
    </r>
    <r>
      <rPr>
        <b/>
        <sz val="11"/>
        <color theme="1"/>
        <rFont val="Calibri"/>
        <family val="2"/>
        <scheme val="minor"/>
      </rPr>
      <t>Salvar</t>
    </r>
    <r>
      <rPr>
        <sz val="11"/>
        <color theme="1"/>
        <rFont val="Calibri"/>
        <family val="2"/>
        <scheme val="minor"/>
      </rPr>
      <t>. Para alterar um valor, basta clicar novamente no par desejado.</t>
    </r>
  </si>
  <si>
    <r>
      <t xml:space="preserve">Nesta etapa, necessito avaliar a precisão dos algoritmos que sugerem uma infração similar àquela em análise. Para isso, uma amostra de 50 infrações foi selecionada aleatoriamente e foram formados pares para avaliação de experts quanto à similaridade numa escala de 1 (infrações pouco similares) a 10 (infrações muito similares). Essa avaliação será considerada o </t>
    </r>
    <r>
      <rPr>
        <i/>
        <sz val="11"/>
        <color theme="1"/>
        <rFont val="Calibri"/>
        <family val="2"/>
        <scheme val="minor"/>
      </rPr>
      <t>padrão</t>
    </r>
    <r>
      <rPr>
        <sz val="11"/>
        <color theme="1"/>
        <rFont val="Calibri"/>
        <family val="2"/>
        <scheme val="minor"/>
      </rPr>
      <t xml:space="preserve"> segundo o qual a qualidade dos algoritmos será avaliada.</t>
    </r>
  </si>
  <si>
    <t>Não constituir/constituir  inadequadamente as provisões técnicas</t>
  </si>
  <si>
    <t>01 - Art. 22 da Circ. SUSEP 517/15</t>
  </si>
  <si>
    <t xml:space="preserve"> 16/09/2016 a 28/10/2016 falta: não constituir/constituir inadequadamente as provisões técnicas qualificação do agente supostamente responsável e, sendo o caso, do responsável solidário: aplicap capitalização s.a cnpj: 13.122.801/0001-71 código fip: 2481-3 pedro adams filho, 3700 – pátria nova novo hamburgo – rs cep:93.320-004 descrição circunstanciada do fato ou do ato constitutivo da suposta infração: a presente representação se deve em face das irregularidades detectadas por meio do trabalho de fiscalização originada por determinação do conselho diretor, a fim de verificar a regularidade da comercialização das promoções na modalidade de incentivo. ao longo do trabalho de fiscalização, identificou-se o início de comercialização com a promotora federação nacional das apaes - fenapaes, processo susep 15414.601325/2016-95 em 29/07/2016 de duas promoções, a goiás da sorte e a pernambuco dá sorte extra. as promoções são comercializadas na modalidade de incentivo, sendo o subscritor dos títulos a fenapaes, que compra uma série fechada e exclusiva de títulos visando angariar recursos oriundos de doação por meio da venda do denominado certificado de contribuição. quem compra o certificado é a população que nesse momento ganha o direito (lhe é cedido o direito pela fenapaes) de concorrer a sorteios por meio de título de capitalização. a partir daí, analisou-se a comercialização propriamente dita. de acordo com a documentação recebida, foi possível verificar dados das promoções referentes aos sorteios de 01/10/16 a 15/10/16 da promoção goiás dá sorte e de 28/09/16 a 12/10/16 da pernambuco dá sorte extra, sendo, portanto, equivalente a três extrações de cada promoção. uma extração é a comercialização da série fechada e exclusiva com direito ao sorteio de prêmios. no caso das promoções citadas, a comercialização de cada série é semanal. a goiás dá sorte é uma promoção com 4 prêmios principais que ocorrem por meio de sorteio de bolas numeradas de 01 a 60 e sorteios por meios próprios que sorteiam 10 números da sorte, chamada giros da sorte. a pernambuco dá sorte extra possui 1 prêmio principal e 10 números da sorte, também giros da sorte. com relação aos produtos comercializados, verifica-se dois que são relacionados às duas promoções, o do processo susep nº 15414.900425/2016-00 que trata dos sorteios de 20 números aleatórios numerados de 01 a 60 e o processo susep nº 15414.900426/2016-00, que trata do sorteio dos números da sorte (giros da sorte) numerados de 000.000 a 999.999. tabela: limites técnicos x comercialização efetiva das cotas de sorteio, carregamento e de capitalização parâmetros aprovados nta comercialização efetiva observada promoção série emissão data do sorteio número de títulos cota de sorteio cota de carregamento cota de capitalização número de títulos cota de sorteio cota de carregamento pmc goiás dá sorte 407 goias.00001 21/09/2016 01/10/2016 1.000.000 6,666667% 43,333333% 50,00% 147.001 45,35% 4,65% 50,00% 406 goias.00001 21/09/2016 01/10/2016 1.000.000 6,666667% 43,333333% 50,00% 147.001 45,35% 4,65% 50,00% 403 goias.00001 21/09/2016 01/10/2016 1.000.000 6,666667% 43,333333% 50,00% 147.001 45,35% 4,65% 50,00% 404 goias.00001 21/09/2016 01/10/2016 1.000.000 6,666667% 43,333333% 50,00% 147.001 45,35% 4,65% 50,00% 405 goias.00001 21/09/2016 01/10/2016 1.000.000 6,666667% 43,333333% 50,00% 147.001 45,35% 4,65% 50,00% 411.goias 00002 28/09/2016 08/10/2016 1.000.000 6,666667% 43,333333% 50,00% 147.001 45,35% 4,65% 50,00% 412.goias 00002 28/09/2016 08/10/2016 1.000.000 6,666667% 43,333333% 50,00% 147.001 45,35% 4,65% 50,00% 410.goias 00002 28/09/2016 08/10/2016 1.000.000 6,666667% 43,333333% 50,00% 147.001 45,35% 4,65% 50,00% 409.goias 00002 28/09/2016 08/10/2016 1.000.000 6,666667% 43,333333% 50,00% 147.001 45,35% 4,65% 50,00% 408.goias 00002 28/09/2016 08/10/2016 1.000.000 6,666667% 43,333333% 50,00% 147.001 45,35% 4,65% 50,00% 418 goias.00003 05/10/2016 15/10/2016 1.000.000 6,666667% 43,333333% 50,00% 147.001 45,35% 4,65% 50,00% 420 goias.00003 05/10/2016 15/10/2016 1.000.000 6,666667% 43,333333% 50,00% 147.001 45,35% 4,65% 50,00% 417 goias.00003 05/10/2016 15/10/2016 1.000.000 6,666667% 43,333333% 50,00% 147.001 45,35% 4,65% 50,00% 421 goias.00003 05/10/2016 15/10/2016 1.000.000 6,666667% 43,333333% 50,00% 147.001 45,35% 4,65% 50,00% 419 goias.00003 05/10/2016 15/10/2016 1.000.000 6,666667% 43,333333% 50,00% 147.001 45,35% 4,65% 50,00% pernambuco dá sorte extra 401 perna.00001 16/09/2016 28/09/2016 1.000.000 6,666667% 43,333333% 50,00% 147.001 45,35% 4,65% 50,00% 402 perna.00001 16/09/2016 28/09/2016 1.000.000 6,666667% 43,333333% 50,00% 147.001 45,35% 4,65% 50,00% 414 perna.00002 23/09/2016 05/10/2016 1.000.000 6,666667% 43,333333% 50,00% 147.001 45,35% 4,65% 50,00% 413 perna.00002 23/09/2016 05/10/2016 1.000.000 6,666667% 43,333333% 50,00% 147.001 45,35% 4,65% 50,00% 416 perna.00003 05/10/2016 12/10/2016 1.000.000 6,666667% 43,333333% 50,00% 147.001 45,35% 4,65% 50,00% 415 perna.00003 05/10/2016 12/10/2016 1.000.000 6,666667% 43,333333% 50,00% 147.001 45,35% 4,65% 50,00% o que é importante observar da tabela acima é que em todos os sorteios existe um distanciamento entre a cota constante da nta e a observada nas três extrações das duas promoções. são comercializadas séries com número de títulos muito inferiores ao estipulado na premissa de formação de preços dos produtos, que se encontra detalhada nas notas técnicas atuariais. nas notas técnicas atuariais (ntas) existe menção à contemplação obrigatória, que nos dois produtos corresponde a 147.000 títulos. note-se que as séries vendidas contêm um título a mais que o mínimo para contemplação obrigatória, passando então a sociedade à constituição da pcs (provisão complementar de sorteios), que representa a diferença positiva entre o valor esperado a pagar dos sorteios a realizar e o saldo da psr (provisão de sorteios a realizar). de acordo com o art. 22 da circular susep nº 517/15, que trata, dentre outros temas, das provisões técnicas, a pcs deverá ser constituída para complementar a psr, sendo utilizada para cobrir eventuais insuficiências relacionadas ao valor esperado dos sorteios a realizar. a partir da documentação encaminhada, observou-se lançamentos contábeis referentes a psr e pcs até a 6ª extração das séries. nas tabelas abaixo, verifica-se a parcela de provisão referente aos prêmios principais e aos giros da sorte em separado para cada uma das promoções: lançamento: d 343121 constituição da provisão para sorteios c 218211 provisão para sorteio a realizar pernambuco dá sorte extra pernamb. sorte extra 1ª extração pernamb. sorte extra 2ª extração pernamb. sorte extra 3ª extração pernamb. sorte extra 4ª extração pernamb. sorte extra 5ª extração pernamb. sorte extra 6ª extração 16/set 23/set 05/out 12/out 19/out 26/out prêmio 5.880,04 5.880,04 5.880,04 5.880,04 5.880,04 5.880,04 giros da sorte 1.960,01 1.960,01 1.960,01 1.960,01 1.960,01 1.960,01 % em relação à receita - prêmio 6,67% 6,67% 6,67% 6,67% 6,67% 6,67% % em relação à receita – giros da sorte 6,67% 6,67% 6,67% 6,67% 6,67% 6,67% goiás dá sorte goiás dá sorte 1ª extração goiás dá sorte 2ª extração goiás dá sorte 3ª extração goiás dá sorte 4ª extração goiás dá sorte 5ª extração goiás dá sorte 6ª extração 21/set 28/set 05/out 14/out 20/out 28/out 4º prêmio 13.720,09 13.720,09 13.720,09 19.600,13 19.600,13 19.600,13 1º prêmio 1.176,01 1.176,01 1.176,01 1.176,01 1.176,01 1.176,01 giros da sorte 1.960,01 1.960,01 1.960,01 1.960,01 1.960,01 1.960,01 2º prêmio 1.176,01 1.176,01 1.176,01 1.176,01 1.176,01 1.176,01 3º prêmio 1.176,01 1.176,01 1.176,01 1.176,01 1.176,01 1.176,01 % em rel. receita - 4º prêmio 6,67% 6,67% 6,67% 6,67% 6,67% 6,67% % em rel. receita - 1º prêmio 6,67% 6,67% 6,67% 6,67% 6,67% 6,67% % em rel. receita - giros da sorte 6,67% 6,67% 6,67% 6,67% 6,67% 6,67% % em rel. receita - 2º prêmio 6,67% 6,67% 6,67% 6,67% 6,67% 6,67% % em rel. receita - 3º prêmio 6,67% 6,67% 6,67% 6,67% 6,67% 6,67% lançamento: d 342221 constituição de provisão para complementação de sorteios c 218411 provisão complementar para sorteio pernambuco dá sorte extra pernamb. sorte extra 1ª extração pernamb. sorte extra 2ª extração pernamb. sorte extra 3ª extração pernamb. sorte extra 4ª extração pernamb. sorte extra 5ª extração pernamb. sorte extra 6ª extração 16/set 23/set 05/out 12/out 19/out 26/out prêmio 34.119,96 34.119,96 34.119,96 34.119,96 34.119,96 34.119,96 giros da sorte 11.373,32 11.373,32 11.373,32 11.373,32 11.373,32 11.373,32 % em relação à receita - prêmio 38,68% 38,68% 38,68% 38,68% 38,68% 38,68% % em relação à receita - giros 38,68% 38,68% 38,68% 38,68% 38,68% 38,68% goiás dá sorte: goiás dá sorte 1ª extração goiás dá sorte 2ª extração goiás dá sorte 3ª extração goiás dá sorte 4ª extração goiás dá sorte 5ª extração goiás dá sorte 6ª extração 21/set 28/set 05/out 14/out 21/out 28/out 4º prêmio 79.613,24 79.613,24 79.613,24 113.733,20 113.733,20 113.733,20 1º prêmio 6.823,99 6.823,99 6.823,99 6.823,99 6.823,99 6.823,99 giros da sorte 11.373,32 11.373,32 11.373,32 11.373,32 11.373,32 11.373,32 2º prêmio 6.823,99 6.823,99 6.823,99 6.823,99 6.823,99 6.823,99 3º prêmio 6.823,99 6.823,99 6.823,99 6.823,99 6.823,99 6.823,99 % em rel. receita - 4º prêmio 38,7% 38,7% 38,7% 38,7% 38,7% 38,7% % em rel. receita - 1º prêmio 38,7% 38,7% 38,7% 38,7% 38,7% 38,7% % em rel. receita - giros da sorte 38,7% 38,7% 38,7% 38,7% 38,7% 38,7% % em rel. receita - 2º prêmio 38,7% 38,7% 38,7% 38,7% 38,7% 38,7% % em rel. receita - 3º prêmio 38,7% 38,7% 38,7% 38,7% 38,7% 38,7% verifica-se que os lançamentos ocorrem de forma simultânea, perfazendo a cadeia de lançamentos contábeis da operação de emissão das séries. note-se que os lançamentos acima referem-se à parte da operação relativa aos sorteios e que a constituição da pcs é realizada em todas as extrações das duas promoções representando a maior parte do valor provisionado para pagamento dos sorteios, evidenciando o caráter recorrente e não eventual na constituição dessa provisão. a psr (provisão de sorteios a realizar) está sendo constituída dentro do parâmetro definido nas ntas, entretanto, este parâmetro se mostra insuficiente na prática, restando a constituição da pcs em valores elevados e o que deveria ser uma provisão de caráter complementar passa a ser, de forma recorrente, a principal provisão para pagamento do sorteio, caracterizando infração ao art. 22 da circular susep nº 517/15. análise de autoria e materialidade da suposta infração: tendo em vista que após a análise, verifica-se que a conduta é pratica na empresa, não se verificando informações ou documentos acostados ao processo que contenham elementos que possibilitem a individualização da conduta de pessoa natural na responsabilidade pela infração, considera-se a sociedade a autora da suposta infração. a materialidade da suposta infração está detalhada no item supra descrição circunstanciada do fato ou do ato constitutivo da suposta infração dispositivo legal ou infralegal supostamente infringido: art. 22 da circular susep nº 517/15 base legal ou infralegal da penalidade aplicável: art. 45 da resolução cnsp nº 243/11 elementos materiais de prova da suposta infração: razão contábil das contas (doc sei 0064727) notas técnicas atuariais, condições gerais, regulamentos e acordo comercial (doc sei 0064736) circunstâncias que possam afetar na dosimetria e na fixação da pena, inclusive de antecedentes e processos que possam gerar a majoração da pena por reincidência: não foram identificados elementos agravantes/atenuantes ou reincidência. anexos relatório de reincidências - doc 0064738 </t>
  </si>
  <si>
    <t>Apresentar irregularidade na escrituração contábil</t>
  </si>
  <si>
    <t>04 - Caput do Art. 88 Decreto-lei 73/66 c/c Art. 123 c/c Caput do Art. 125 c/c 168 da Circ. SUSEP 517/15</t>
  </si>
  <si>
    <t xml:space="preserve">30/09/2016, data de fechamento do mês base falta apresentar irregularidade da escrituração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conta 1181111 comissão de seguros a conta 1181111 tem saldo de r$ 150.460.084,33. a partir dos documentos coletados foram localizados erros no analítico originalmente apresentado. notificada, a companhia apresentou novo analítico com saldo de r$ 150.118.440,94 e nova conciliação (doc. sei 0082310 e suas partes) com uma diferença identificada e não conciliada de r$ 341.643,39. sob o entendimento de que o valor de r$ 341.643,39 foi contabilizado sem documentação suporte, não constando do analítico e carecendo de documentação comprobatória, caracteriza-se infração ao art.123 c/c caput do art. 125 da circular susep nº 517/2015, com pena prevista pelo art.19 da resolução cnsp nº 243/2011. conta 118118 outros custos de aquisição diferidos a conta 118118 tem saldo contábil de r$ 547.056.291,49, enquanto o analítico demonstra r$ 547.290.196,60 (doc.sei 0082329), com uma diferença identificada e não conciliada de r$ (233.905,11). o analítico [ge_2016] apresenta r$ 83 milhões em saldo credor numa conta eminentemente devedora. a companhia foi questionada pelo e-mail de 02/12/2016 (doc.sei 0082329) e respondeu nos seguintes termos: 3. foi constatado o saldo de r$(83.686.045,23) na conciliação da conta 118118, base ge. favor, esclarecer o saldo negativo. resposta zurich: o valor negativo apresentado na conciliação é devido a um problema de mapeamento contábil onde o sistema está registrando a reversão na conta 118118 e a constituição na conta 118115, ambos das contas no grupo de custo de aquisição diferido. a seguradora já tinha identificado este problema e a correção está na fase de implantação com a ti. sob o entendimento de que o saldo da conta 118118 está incorreto, caracteriza-se a falta de fidedignidade do saldo contábil, com infração ao art.123 c/c caput do art. 125 da circular susep nº 517/2015, com pena prevista pelo art.19 da resolução cnsp nº 243/2011. conta 118115 agenciamento de seguros a conta 118115 foi incluída no escopo da fiscalização para análise conjunta com a conta 118118, considerando o erro de reversão presente na conta 118118. a conta 118115 tem saldo de r$ 122.512.641,18, enquanto o analítico apresenta saldo de r$ 124.604.029,61. a companhia foi questionada pelo e-mail de 02/12/2016 (doc.sei 0082329) a respeito de saldos credores na conta 118118, devedora por natureza, e respondeu nos seguintes termos: 3. foi constatado o saldo de r$(83.686.045,23) na conciliação da conta 118118, base ge. favor, esclarecer o saldo negativo. resposta zurich: o valor negativo apresentado na conciliação é devido a um problema de mapeamento contábil onde o sistema está registrando a reversão na conta 118118 e a constituição na conta 118115, ambos das contas no grupo de custo de aquisição diferido. a seguradora já tinha identificado este problema e a correção está na fase de implantação com a ti. sob o entendimento de que o saldo da conta 118115 está incorreto, caracteriza-se a falta de fidedignidade do saldo contábil, com infração ao art.123 c/c caput do art. 125 da circular susep nº 517/2015, com pena prevista pelo art.19 da resolução cnsp nº 243/2011. conta 121351 depósitos judiciais – sinistro o saldo contábil da conta 121351 coincide com o saldo do analítico de r$ 11.685.243,16. com o fim de verificar a conta 121351, foi realizada amostragem dos registros do analítico: número de sinistro valor principal valor corrigido autor da ação 5494001424512002 22.802,00 49.011,12 antônio josé ribeiro 5494001044511999 18.147,49 25.239,62 jorge renato fraga dos santos 39534101215119982 70.477,20 #ref! (*sic) ademir flores sanches 6693010330991999 287.098,84 428.165,23 antônio barbosa de souza 2993002400511992 86.154,34 165.501,49 josé de santana filho 5493028554512007 35.305,60 54.792,87 rose maria da silva 2993003162511999 21.048,42 45.713,30 jurandi camilo dos santos 4393006527511997 223.154,11 269.638,15 gilberto machado franco considerando as informações existentes nos controles da companhia, foram identificados depósitos cujos saldos não correspondem aos contabilizados, exigindo as seguintes correções: número de sinistro autor da ação valor a corrigir 5494001424512002 antônio josé ribeiro - 5494001044511999 jorge renato fraga dos santos - 39534101215119982 ademir flores sanches 70.477,20 6693010330991999 antônio barbosa de souza 310.000,00 2993002400511992 josé de santana filho - 5493028554512007 rose maria da silva - 2993003162511999 jurandi camilo dos santos 45.713,30 4393006527511997 gilberto machado franco 251.484,04 total 677.674,54 para os sinistros cujo valor a corrigir é zero, não foram localizados indícios de levantamento dos depósitos por parte da companhia ou por parte do autor. para os demais, seguem os comentários com base nos controles da companhia: 39534101215119982: há indício de levantamento parcial pelo autor. os controles não especificam o valor ou a data do levantamento parcial. o valor corrigido não está disponível nos controles. assim, foi assumido o valor do principal de r$ 70.477,20 como valor levantado pelo autor; 6693010330991999: foi expedido alvará de levantamento. há acordo homologado ou sentença transitada em julgado com pagamento de r$ 310 mil ao autor; 2993003162511999: a zurich foi condenada e o autor já levantou o valor e ainda pleiteia pagamento complementar; 4393006527511997: a psl foi baixada em maio/2016 por r$ 205 mil. ainda há informação de que a zurich aguarda alvará de levantamento de r$ 18.154,11. assim, o registro contábil deveria ter o saldo de r$ 18.154,11. a requisição termo de designação susep/disol/cgfip nº 39/16-09 (doc.sei 0083314) notificou a companhia do apurado e solicitou eventuais considerações. o pronunciamento da companhia não afasta a materialidade dos apontamentos. segundo o posicionamento da companhia (doc.sei 0083314): cabe ressaltar que os sinistros 6693010330991999 no montante de r$ 310.000,00 e 4393006527511997 no montante de r$ 251.484,04, selecionado na amostragem desta fiscalização, foram baixados ainda no exercício de 2016, conforme evidencia abaixo do sistema sap da seguradora: muito embora os valores tenham sido baixados em dezembro/2016, restou apurado que os valores apontados no total de, pelo menos, r$ 677.674,54 já não pertenciam à companhia em setembro/2016, pelo que seu registro como ativo era inapropriado, configurando infração ao art.123 c/c caput do art. 125 da circular susep nº 517/2015, com pena prevista pelo art.19 da resolução cnsp nº 243/2011. conta 11311 prêmios diretos a receber o saldo contábil utilizado na conciliação é de r$ 642.105.486,18, marginalmente diferente do saldo do balancete de r$ 642.105.644,23, enquanto o saldo do analítico utilizado na conciliação é de r$ 642.931.437,30, apresentando uma diferença identificada e não conciliada de r$(825.951,12). a requisição td susep/disol/cgfip n° 39/2016-06 solicitou esclarecimentos quanto às divergências apuradas nas contas 113111 e 113113, correspondentes aos prêmios a receber e aos juros a apropriar do adicional de fracionamento. em resposta a companhia apontou que (doc. sei 0083642 em 4 partes): “com relação ao questionamento da conta contábil 113113 – juros a apropriar, a diferença entre o valor contabilizado, de r$ 6.247.921,15 e o arquivo premrec, no valor de r$ 5.632.644,02, refere-se a valores que foram compensados e registrados na conta 11311 – prêmios – riscos vigentes emitidos, cabendo apenas uma classificação de conta. motivo pelo qual, ao fazer a conciliação contábil com o arquivo premrec e o valor registrado no balancete do mês de setembro-16, utilizou o grupo de conta 11311 – prêmios a receber. além do mais, esclarecemos que o valor de r$ 5.632.644,02 é o valor correto como suporte para adicional de fracionamento.” a requisição td susep/disol/cgfip n° 39/2016-07 solicitou esclarecimentos adicionais relativos à conta 113113 e à diferença de r$ 615.277,13 entre o valor contabilizado e o valor do analítico premrec. em resposta, a companhia apontou que um dos sistemas da companhia (sistema tia, relativo a automóvel) cometia erro de mapeamento de contas, invertendo a contabilização, conforme resposta abaixo: “com relação à diferença apontada na conta contábil 113113 – juros a apropriar, no anexo i, consta a relação das apólices que apresentaram diferença de mapeamento do sistema tia, no qual, o sistema invertia a contabilização entre as contas 113111 e 113113 no momento da emissão e baixa do prêmio pelo recebimento, porém, não alterando o saldo da conta 11311 – prêmios a receber. este problema já foi solucionado para casos futuros, restando apenas estas apólices para regularização entre contas. estamos enviando também três apólices que demonstra o valor do adicional de fracionamento e as parcelas dos prêmios emitidos.” a companhia forneceu relação das apólices e valores do sistema tia, somando r$ 615.277,13. do exposto, depreende-se que há erro de r$ 615.277,13 no valor contabilizado na conta 113111 e erro de mesmo valor e sinal trocado na conta 113113, caracterizando a falta de fidedignidade do saldo contábil em ambas as contas, com infração ao art.123 c/c caput do art. 125 da circular susep nº 517/2015, com pena prevista pelo art.19 da resolução cnsp nº 243/2011. conta 119111 ativo de resseguro o saldo contábil da conta 119111 é de r$ 464.185.091,45, para um analítico conciliado de r$ 464.185.089,98, com diferença imaterial. o arquivo resprem, complementado com as informações de resseguro pela companhia, apresentou saldo de r$ 411.503.846,76, com uma diferença de r$ 52.681.244,69 em relação ao contabilizado. questionada pela requisição termo de designação susep/disol/cgfip nº 39/2016-06, a companhia respondeu que as diferenças referem-se a (doc. sei 0083675): contratos não proporcionais (r$ 15.486.713,57) não constantes do resprem, conforme base de dados fornecida; resseguro relacionado a cosseguro aceito (r$ 29.734.200,09) constante do arquivo respremc; inconsistência do sistema tia (r$ 7.381.676,60 ) no cálculo da reserva. a companhia forneceu base analítica da diferença de r$ 7.381.676,60 em resposta ao item v da requisição termo de designação susep/disol/cgfip nº 39/2016-07 (doc. sei 0083675). conforme e-mail de 13/02/2017 e resposta (doc. sei 0083675), foi contabilizado r$ 7.381.676,60 a mais do que os valores corretos nas contas 119111 e 216111 ppng, superestimando o saldo das contas neste valor. tendo em vista que a contabilização superestimada em r$ 7.381.676,60 da conta 119111 e da conta 21611 caracteriza falta de fidedignidade da contabilidade, entendem-se infringidos os art. 123 c/c caput do art. 125 da circular susep nº 517/2015, com pena prevista pelo art.19 da resolução cnsp nº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artigo 123 c/c caput do art. 125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0084154) relatório de antecedentes (doc. sei 0084156) apresentar irregularidade na conciliação contábil  30/09/2016, data de fechamento do mês base falta apresentar irregularidade na conciliação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conta 1181111 comissão de seguros a conta 1181111 tem saldo de r$ 150.460.084,33. a partir dos documentos coletados foram localizados erros no analítico originalmente apresentado. notificada, a companhia apresentou novo analítico com saldo de r$ 150.118.440,94 e nova conciliação (doc. sei 0082310 e suas partes) com uma diferença identificada e não conciliada de r$ 341.643,39 sob o entendimento que o mero cálculo de diferença entre o analítico e o saldo contábil não caracteriza conciliação, fica evidenciado que a conta 1181111 não foi devidamente conciliada, caracterizando infração ao caput do art. 125 c/c 126 da circular susep nº 517/2015, com pena prevista pelo art.19 da resolução cnsp nº 243/2011. conta 118115 agenciamento de seguros a conta 118115 tem saldo de r$ 122.512.641,18, enquanto o analítico apresenta saldo de r$ 124.604.029,61. a conciliação apresenta uma diferença identificada e não explicada de r$ (2.253.776,04) (doc. sei 0082329). sob o entendimento de que o mero cálculo de diferença entre o analítico e o saldo contábil não caracteriza conciliação, fica evidenciado que a conta 118115 não foi devidamente conciliada, caracterizando infração ao caput do art. 125 c/c caput do art. 126 da circular susep nº 517/2015, com pena prevista pelo art.19 da resolução cnsp nº 243/2011. conta 1217115 agenciamento de seguros (longo prazo) a conta 1217115 tem saldo contábil de r$ 15.664.136,95, enquanto o saldo do analítico é de r$ 18.081.105,90, resultando numa diferença de r$ (2.416.968,95). segundo a conciliação apresentada, planilha [item iii-3 - 1217115 - agenciamento de seguros - 092016.xlsb] (doc sei 0083765), a diferença de r$ (2.416.968,95) se refere à reclassificação semestral entre curto e longo prazo. não é o caso. em primeiro lugar, o saldo contábil apresentado na conciliação é de setembro/2016. porém, os cálculos de conciliação utilizam a data de agosto/2016, como se pode observar a partir do cálculo dos dias decorridos desde a data de início de vigência até 31/08/2016: apesar disso, o valor da diferença de r$ (2.416.968,95) foi integralmente atribuído à reclassificação contábil entre curto e longo prazo nos ajustes semestrais. no e-mail de 06/12/2016 a companhia reconhece o erro e refaz o cálculo (doc sei 0083765). ainda que posteriormente corrigido, fica caracterizado o erro na conciliação de setembro/2016. em segundo lugar, para os seguros cuja vigência não se iniciou no mês base, típico no ramo de garantia estendida, o cálculo realizado pela companhia para alocação entre curto e longo prazo subestima o valor do curto prazo, utilizando valor negativo, e superestima o valor de longo prazo, compensando o valor negativo erroneamente utilizado no curto prazo. por exemplo: o valor do total de curto e longo prazo a ser diferido está correto, porém, a alocação entre curto e longo prazo é produto de um erro de cálculo da planilha de conciliação que atribui valores negativos ao circulante e superestima o valor não circulante, tal que a soma seja o total diferido. no e-mail de 06/12/2016 a companhia reconhece o erro e refaz o cálculo (doc sei 0083765). a correção posterior, s.m.j., não afasta a irregularidade da conciliação de setembro/2016. sob o entendimento de que o mero cálculo de diferença entre o analítico e o saldo contábil não caracteriza conciliação, e considerando os cálculos equivocados, fica evidenciado que a conta 1217115 não foi devidamente conciliada, caracterizando infração ao caput do art. 125 c/c caput do art. 126 da circular susep nº 517/2015, com pena prevista pelo art.19 da resolução cnsp nº 243/2011. comunicada dos erros de alocação, a companhia alterou o cálculo de alocação de curto e longo prazo na planilha de conciliação da conta 118115 (doc sei 0083765). como resultado, a diferença atribuível à alocação entre curto e longo prazo é de r$ (162.387,61), explicando completamente a diferença entre o valor contabilizado e o analítico da conta de longo prazo 1217115. o mesmo valor, com sinal trocado, também é utilizado para explicar parte da diferença entre o contábil e o analítico na conta 118115. conta 11311 prêmios diretos a receber o saldo contábil utilizado na conciliação é de r$ 642.105.486,18, marginalmente diferente do saldo do balancete de r$ 642.105.644,23, enquanto o saldo do analítico utilizado na conciliação é de r$ 642.931.437,30, apresentando uma diferença identificada e não conciliada de r$(825.951,12) conforme planilha [item ii-2b - 11311_conciliação-premrec_092016.xlsb] (doc. sei 0083642 em 4 partes). a partir do entendimento que o mero cálculo de diferença entre o analítico e o saldo contábil não caracteriza conciliação, entende-se que a conta 11311 não foi devidamente conciliada, implicando em infração ao caput do art. 125 c/c caput do art. 126 da circular susep nº 517/2015, com pena prevista pelo art.19 da resolução cnsp nº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caput do art. 125 c/c caput do art. 126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0084160) relatório de antecedentes (doc. sei 0084157) constituição inadequada de rvr de prêmios a receber  30/09/2016, data de fechamento do mês base falta apresentar irregularidade da escrituração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a companhia não tem metodologia própria para o cálculo da redução ao valor recuperável de prêmios a receber, conta 11319. assim, aplicando-se os artigos 167 a 170 da circular susep nº 517/2015, as supervisionadas devem efetuar a redução ao valor recuperável quando a inadimplência superar 60 dias da data de vencimento dos prêmios a receber. com base nesta regra, a fiscalização apurou cerca de r$ 75 milhões de créditos em atraso há mais de 60 dias, sem considerar o arrasto de mesmo cpf/cnpj prescrito pela norma. considerando que o saldo da conta 11319 era de apenas r$ 31.700.349,28, a companhia foi questionada pela requisição td susep/disol/cgfip n° 39/2016-07 e, em resposta, declarou (doc sei 0083837): “com relação ao questionamento iv referente ao arquivo premrec para validação da redução ao valor recuperável de prêmios a receber, a seguradora refez o cálculo em conformidade com a circular 517/2015 e constatamos divergência no que foi apurado no primeiro momento pela fiscalização. em nosso cálculo, baseado no arquivo premrec, o saldo da redução ao valor recuperável, sem considerar qualquer exclusão, é de r$ 84.555.735,78, diferente do valor apontado pela fiscalização de r$ 75.107.686,98. no arquivo “premrec_2016_zmb”, anexo desta carta a seguradora demonstra a memória de cálculo, bem como, os registros os quais estariam com status de “erro de conciliação” e “erros de base”. para estes registros estão identificados no arquivo em excel como “exclusão” e soma o valor de r$ 20.063.638,61”. preliminarmente, a regra prescrita pela circular susep nº 517/2015 não prevê qualquer exclusão dos créditos em atraso há mais de 60 dias. uma das exclusões postuladas pela companhia é de r$ 20.063.638,61 referente a créditos que já teriam sido recebidos. a declaração da companhia de que mantém contabilizado como prêmios a receber os valores já recebidos, por si só, é indício de infração por erro de contabilização. ora se o crédito já foi recebido, não deveria sequer constar do ativo. logo, os créditos já recebidos deveriam, preferencialmente, estar fora do ativo, ou, do contrário, devem obrigatoriamente constar da conta redutora 11319 para que o ativo líquido de prêmios a receber se aproxime de seu real valor. logo, não se justifica a exclusão do rvr e a manutenção em conta de ativo dos créditos já recebidos contabilizados pela companhia. a companhia manifestou-se no sentido de compensar os passivos correspondentes aos créditos que sofreram impairment. ainda que seja possível postular a aplicação de redutores aos passivos que deixarão de ser pagos em função dos prêmios sob impairment para efeito de apuração patrimonial, o registro líquido em conta do ativo é inapropriada e caracteriza erro de contabilização. a companhia contabilizou saldo devedor de r$ 33.582.856,62 correspondente à redução de passivos na conta 11319. o valor da conta 11319 é credor em r$ 31.700.349,28 que, somado aos valores já recebidos de r$ 20.063.638,61 e aos redutores de passivo de r$ 33.582.856,62, deveria apresentar saldo credor de r$ 84.555.735,78, com uma diferença de r$ 52.855.386,50. assim, fica caracterizada o erro de contabilização da conta 11319, que não contém todos os créditos vencidos há mais de 60 dias, configurando infração ao art. 123 c/c caput do art. 125 c/c 168 c/c 169 da circular susep nº 517/2015, com pena prevista pelo art.19 da resolução cnsp nº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artigo 123 c/c caput do art. 125 c/c 168 c/c 169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0084154) relatório de antecedentes (doc. sei 0084156) constituição inadequada de rvr de sinistros a recuperar  30/09/2016, data de fechamento do mês base falta apresentar irregularidade da escrituração contábil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a data base da fiscalização é setembro/2016. a companhia foi instada a apresentar estudo técnico pelo item iii.4 da requisição termo de designação susep/disol/cgfip nº 39/2016-01 (doc. sei 0083846). em resposta, declarou: 11349 – redução ao valore recuperável - ativo de resseguro: a redução ao valor recuperável para ativos de resseguros: sinistro pago é constituído para aqueles com período de inadimplência superior a 180 dias da data do vencimento do crédito, conforme circular susep n° 517/15, a conciliação está disponível no item 3 – conciliação contábil. assim, deduz-se que a seguradora não tem metodologia própria para o cálculo da redução ao valor recuperável (rvr) e alega adotar o critério estabelecido pelo art.168 da circular susep nº 517/2015. o saldo contábil credor da conta 11349 é de r$ 19.272.117,51. no entanto, o valor apurado de créditos vencidos há mais de 180 dias a partir do analítico da conta 113414 é de r$ 31.985.469,08, resultando numa diferença de r$ 12.713.351,57. questionada, a companhia esclareceu que não constitui redução a valor recuperável para as resseguradoras do grupo zurich: conforme nova manifestação da companhia em resposta à requisição termo de designação susep/disol/cgfip nº 39/2016-09 (doc. sei 0080873), não há histórico de inadimplência das resseguradoras do grupo, logo, segundo o estudo anexado, não há redução a realizar. porém, o estudo apresentado pela companhia, apenas ao final da fiscalização, contém dados de outubro e novembro/2016, tornando impossível admitir que tal estudo tenha sido utilizado para a contabilização de setembro/2016. assim, diante da declaração da companhia em respostra ao item iii.4 da requisição termo de designação susep/disol/cgfip nº 39/2016-01, e da impossibilidade de adoção do estudo apresentado em resposta à requisição termo de designação susep/disol/cgfip nº 39/2016-09, conclui-se que não havia estudo que sustentasse a exclusão dos créditos das resseguradoras do grupo zurich em setembro/2016, tornando obrigatória a redução ao valor recuperável de todos os créditos em atraso há mais de 180 dias, conforme estabelecido pelo art. 168 da circular susep nº 517/2015. assim, fica caracterizada infração ao art. 123 c/c caput do art. 125 c/c 168 da circular susep nº 517/2015, com pena prevista pelo art.19 da resolução cnsp nº 243/2011, por deixar de contabilizar r$ (12.713.351,57) na conta 11349, referente a créditos vencidos há mais de 180 dia referente aos valores a receber das resseguradoras do grupo econômico zurich.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das supostas infrações. a materialidade de cada ato infracional já foi abordada na descrição circunstanciada do fato ou do ato constitutivo da suposta infração. dispositivo legal ou infralegal supostamente infringido caput do artigo 88 do decreto-lei nº 73/1966 c/c artigo 123 c/c caput do art. 125 c/c 168 da circular susep nº 517/2015 base legal ou infralegal da penalidade aplicável artigo 19 da resolução cnsp nº 243/2011 elementos materiais de prova da suposta infração citados no decorrer da descrição circunstanciada do fato ou do ato constitutivo da suposta infração. circunstâncias que possam afetar na dosimetria e na fixação da pena, inclusive de antecedentes e processos que possam gerar a majoração da pena por reincidência não foram constatadas circunstâncias agravantes nos termos do artigo 11 da resolução cnsp n.º 243/2011. não foram constatadas circunstâncias atenuantes nos termos do artigo 12 da resolução cnsp n.º 243/2011. não foram constatadas reincidências, nos termos do artigo 14 da resolução cnsp n.º 243/2011. anexos relatório de reincidências (doc. sei 0084154) relatório de antecedentes (doc. sei 0084156) erro no arquivo premrec  30/09/2016, data de fechamento do mês base falta apresentar irregularidade nos registros obrigatórios contábeis qualificação do agente supostamente responsável e, sendo o caso, do responsável solidário zurich minas brasil seguros s.a. código fip: 05495, cnpj n.º 17.197.385/0001-21 endereço: avenida getúlio vargas, 1.420 – 5º e 6º andares – savassi – belo horizonte - cep: 30112021 descrição circunstanciada do fato ou do ato constitutivo da suposta infração: a requisição td susep/disol/cgfip n° 39/2016-06 solicitou esclarecimentos quanto às divergências apuradas nas contas 113111 e 113113, correspondentes aos prêmios a receber e aos juros a apropriar do adicional de fracionamento. em resposta a companhia apontou que: “com relação ao questionamento da conta contábil 113113 – juros a apropriar, a diferença entre o valor contabilizado, de r$ 6.247.921,15 e o arquivo premrec, no valor de r$ 5.632.644,02, refere-se a valores que foram compensados e registrados na conta 11311 – prêmios – riscos vigentes emitidos, cabendo apenas uma classificação de conta. motivo pelo qual, ao fazer a conciliação contábil com o arquivo premrec e o valor registrado no balancete do mês de setembro-16, utilizou o grupo de conta 11311 – prêmios a receber. além do mais, esclarecemos que o valor de r$ 5.632.644,02 é o valor correto como suporte para adicional de fracionamento.” a requisição td susep/disol/cgfip n° 39/2016-07 (doc. sei 0083642 em 4 partes) solicitou esclarecimentos adicionais relativos à conta 113113 e à diferença de r$ 615.277,13 entre o valor contabilizado e o valor do analítico premrec. em resposta, a companhia apontou que um dos sistemas da companhia (sistema tia, relativo a automóvel) cometia erro de mapeamento de contas, invertendo a contabilização, conforme resposta abaixo: “com relação à diferença apontada na conta contábil 113113 – juros a apropriar, no anexo i, consta a relação das apólices que apresentaram diferença de mapeamento do sistema tia, no qual, o sistema invertia a contabilização entre as contas 113111 e 113113 no momento da emissão e baixa do prêmio pelo recebimento, porém, não alterando o saldo da conta 11311 – prêmios a receber. este problema já foi solucionado para casos futuros, restando apenas estas apólices para regularização entre contas. estamos enviando também três apólices que demonstra o valor do adicional de fracionamento e as parcelas dos prêmios emitidos.” a companhia forneceu relação das apólices e valores do sistema tia, somando r$ 615.277,13. o arquivo premrec é registro auxiliar obrigatório da contabilidade e é utilizado na conciliação da conta 11311 e subcontas. segundo apurado a partir de declarações da companhia, o adicional de fracionamento é adicionado ao prêmio líquido em todos os registros do sistema tia, totalizando r$ 615.277,13, tendo sido coletada amostra de apólices 05495005605310013786.pdf, 05495006605310088101.pdf e 05495006605310101868.pdf (doc. sei 0083642 em 4 partes) que comprovam o apurado: apólices prêmio líquido (r$) juros (adicional de fracionamento) iof apólice 0101868 campo pr_emit – 1.081,66 valor na apólice – 856,87 diferença – 224,79 campo ad_frac – 224,78 valor na apólice – 224,78 campo iof – 79,83 valor na apólice – 79,83 apólice 0088101 campo pr_emit – 898,62 valor na apólice – 711,87 diferença – 186,75 campo ad_frac – 186,74 valor na apólice – 186,75 campo iof – 66,31 valor na apólice – 66,32 apólice 0013786 campo pr_emit – 1013,48 valor na apólice – 802,85 diferença – 210,63 campo ad_frac – 210,62 valor na apólice – 210,62 campo iof – 74,79 </t>
  </si>
  <si>
    <t>Não atender, no prazo, às solicitações da autarquia, desde que tal procedimento não seja caracterizado como ato ou omissão para dificultar ou impedir atividade de investigação ou fiscalização da susep.</t>
  </si>
  <si>
    <t>01 - Art. 16 da Lei 4594, de 29 de dezembro de 1964.</t>
  </si>
  <si>
    <t>sistema de cadastro de corretores dados do corretor - pf código susep: 20.0663832 19/09/2016 11:17:15 nome: gizele mallman senna concessão: 29/11/2011 cpf: 907.504.110-15 identidade: 1072564923 emissor: ssprs sexo: f nascimento: 02/02/1978 situação: ativo ramo de atuação: vida, cap e nacionalidade: brasileira naturalidade: sc criciuma endereço res: rua dos andradas, 1727 - sala26 bairro res: centro cidade res: porto alegre uf res: rs cep res: 90020-013 endereço com: , - bairro com: uf com: cep com: pai: adao cardoso de senna mãe: anelci mallmann senna cidade com: celular: (51)7815-0527 telefone comercial: telefone residência: (51)3074-1015 email pessoal: gizeli@dcredi.com.br email com: seguradoras com as quais opera empresa porto seguro vida e previdência s/a. prepostos (antigo) código 06033 nome prepostos nome inclusão última alteração local onde opera situação código inclusão cpf 1</t>
  </si>
  <si>
    <t>Realizar qualquer operação comercial/financeira em desacordo com as normas</t>
  </si>
  <si>
    <t>01 - Inc. II do Art. 71 da Lei Complementar 109/01 c/c Alínea "b" do Inc. X do Art. 91 da Res. CNSP 321/15</t>
  </si>
  <si>
    <t xml:space="preserve"> falta: qualificação do agente responsável e, sendo o caso, do responsável solidário: 30/11/2016 realizar qualquer operação comercial/financeira em desacordo com as normas. amando aparecido ramos, cpf n.º 701.009.856-53, diretor- presidente e wanderleia gomes da silva moreira, cpf n.º 855.168.806-53, diretora – ambos são, também, membros efetivos do conselho deliberativo da viver previdência. e como responsável solidário: viver previdência (viver), cnpj n.º 33.767.492/0001-02, código susep n.º 1003-1, situada à avenida álvares cabral, 397, 2º andar, sala/conj. 201, lourdes – cep 30.170- 000 – belo horizonte, mg. descrição circunstanciada do fato ou do ato constitutivo da infração: a npassos administração, tecnologia e turismo ltda. (npassos) é contratada pela viver, desde 01/09/2013, para realizar serviços de apoio administrativo, conforme reproduzido a seguir, extraído do contrato firmado entre as partes: verificamos no sistema financeiro da fiscalizada que, do início da prestação de serviços até dezembro/16, r$ 643.390,22 foram despendidos com a npassos. ocorre que a sócia da contratada, patrícia do nascimento passos, desde 14/11/2013, é casada com membro do conselho deliberativo da fiscalizada (marcelo braga de oliveira), o que configura violação à lei complementar n.º 109/01, bem como à resolução cnsp n.º 321/15, visto que entidades de previdência complementar são proibidas por tais normativos de realizarem quaisquer operações comerciais e financeiras com empresas de que participem seus administradores, membros dos ministério da fazenda superintendência de seguros privados coordenação-geral de fiscalização prudencial representação análise de autoria e materialidade da infração: dispositivo legal ou infralegal infringido: base legal ou infralegal da penalidade aplicável: elementos materiais de prova da infração: n.º sei 0083565 conselhos estatutários e respectivos cônjuges ou companheiros, e com seus parentes até o segundo grau. amando aparecido ramos é o signatário do contrato e dos aditivos contratuais firmados com a npassos, bem como é o diretor designado como responsável administrativo-financeiro, a quem cabe, de acordo com a circular susep n.º 234/03, “a supervisão das atividades administrativas e econômico-financeiras, englobando o cumprimento de toda a legislação societária e aquela aplicável à consecução dos respectivos objetivos sociais diretor responsável” wanderleia gomes da silva moreira também é signatária dos supracitados aditivos contratuais. inciso ii do artigo 71 da lei complementar n.º 109/01 c/c alínea “b” do inciso x do artigo 91 da resolução cnsp n.º 321/15. artigo 49 da resolução cnsp nº 243/11. (cid:1) contrato de prestação de serviços firmado entre viver e npassos; (cid:1) aditivos contratuais; (cid:1) informações internet no https://registrocivilminas.org.br/ sobre o casamento da sócia da npassos com o conselheiro da viver; obtidas sítio da (cid:1) relatório com os valores pagos pela viver à npassos; e (cid:1) ofício em que o contrato foi requisitado à fiscalizada. não há. circunstâncias que possam afetar na dosimetria e na fixação da pena, inclusive de antecedentes e processos que possam gerar a majoração da pena por reincidência:</t>
  </si>
  <si>
    <t>Encaminhar as informações do fip/susep com incorreções</t>
  </si>
  <si>
    <t>Item s 1, 2 e 3 - Art. 88 Decreto-lei 73/66 e alterações, c/c a Res. CNSP 517, de 2015. - INFRAÇÃO CONTINUAda</t>
  </si>
  <si>
    <t xml:space="preserve"> 27/03/2015 (data de envio dos primeiros quadros 376, 377 e 380 referentes a fev/15 enviados. os quadros foram reenviados em 06/04/2015, 26/06/2015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27/04/2015 (data de envio dos primeiros quadros 376 e 377 referentes a mar/15 enviados. os quadros foram reenviados em 26/06/2015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27/05/2015 (data de envio dos primeiros quadros 376 e 377 referentes a abr/15 enviados. os quadros foram reenviados em 26/06/2015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27/07/2015 (data de envio dos primeiros quadros 377 e 380 referentes a jun/15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08/09/2015 (data de envio dos primeiros quadros 376, 377 e 380 referentes a jul/15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28/09/2015 (data de envio dos primeiros quadros 377 e 380 referentes a ago/15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27/10/2015 (data de envio dos primeiros quadros 377 e 380 referentes a set/15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30/11/2015 (data de envio dos primeiros quadros 377 e 380 referentes a out/15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28/12/2015 (data de envio dos primeiros quadros 377 e 380 referentes a nov/15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28/01/2016 (data de envio dos primeiros quadros 376, 377 e 380 referentes a dez/15 enviados. os quadros foram reenviados em 07/03/2016 e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07/03/2016 (data de envio dos primeiros quadros 376, 377 e 380 referentes a jan/16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28/03/2016 (data de envio dos primeiros quadros 377 e 380 referentes a fev/16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27/04/2016 (data de envio dos primeiros quadros 376, 377 e 380 referentes a mar/16 enviados. os quadros foram reenviados em 08/08/2016,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27/05/2016 (data de envio dos quadros 376, 377 e 380 referentes a abr/16) falta: encaminhar as informações do fip/susep com incorreções. qualificação do agente supostamente responsável e, sendo o caso, do responsável solidário: sancor seguros do brasil s/a, cnpj 17.643.407/0001-30, av. xv de novembro, 871 - sala 01, zona 01, maringá – pr, cep.: 87.013-230.   27/06/2016 (data de envio dos quadros 376, 377 e 380 referentes a mai/16) falta: encaminhar as informações do fip/susep com incorreções. qualificação do agente supostamente responsável e, sendo o caso, do responsável solidário: sancor seguros do brasil s/a, cnpj 17.643.407/0001-30, av. xv de novembro, 871 - sala 01, zona 01, maringá – pr, cep.: 87.013-230.   27/07/2016 (data de envio dos primeiros quadros 376, 377 e 380 referentes a jun/16 enviados. os quadros foram reenviados em 22/09/2016, porém continuamos verificando inconsistências). falta: encaminhar as informações do fip/susep com incorreções. qualificação do agente supostamente responsável e, sendo o caso, do responsável solidário: sancor seguros do brasil s/a, cnpj 17.643.407/0001-30, av. xv de novembro, 871 - sala 01, zona 01, maringá – pr, cep.: 87.013-230.   22/09/2016 (data de envio dos quadros 376, 377 e 380 referentes a jul/16) falta: encaminhar as informações do fip/susep com incorreções. qualificação do agente supostamente responsável e, sendo o caso, do responsável solidário: sancor seguros do brasil s/a, cnpj 17.643.407/0001-30, av. xv de novembro, 871 - sala 01, zona 01, maringá – pr, cep.: 87.013-230.   27/09/2016 (data de envio dos quadros 376, 377 e 380 referentes a ago/16) falta: encaminhar as informações do fip/susep com incorreções. qualificação do agente supostamente responsável e, sendo o caso, do responsável solidário: sancor seguros do brasil s/a, cnpj 17.643.407/0001-30, av. xv de novembro, 871 - sala 01, zona 01, maringá – pr, cep.: 87.013-230. os dados a seguir são aplicados às infrações apresentadas anteriormente, sem prejuízo da autonomia entre elas. descrição circunstanciada do fato ou do ato constitutivo da suposta infração: foi realizada a análise das provisões técnicas da sociedade, tendo como data base o mês de fevereiro de 2016. assim foi enviada a carta cgsoa/copra/dimp2 nº 62/2016 contendo as observações e exigências para a adequação das provisões técnicas. após a resposta da sociedade e da realização da recarga dos dados do fip nova análise nas provisões técnicas, com data base em maio de 2016, foi realizada; entretanto, algumas inconsistência continuaram a ser observadas, sendo enviada a carta cgmop/copra/dimp1 nº 31/2016 contendo as observações e exigências da nova análise. novamente, após a resposta da sociedade e nova recarga dos dados do fip nova análise nas provisões técnicas foi realizada, com data base em julho de 2016. assim, constatamos que a sociedade continua com a base de dados contendo erros. as bases cujos erros foram verificados são: - quadros estatísticos 376 e/ou 377 (informações referentes a movimentações e saldos de ativos de resseguro relacionados a sinistros e/ou créditos com ressegurador) de: fev/15, mar/15, abr/15, jul/15, dez/15, jan/16, mar/16, abr/16, mai/16, jun/16, jul/16 e ago/16. - quadros estatísticos 377 e/ou 380 (informações referentes a saldos de ativos de resseguro relacionados a sinistros e/ou créditos com ressegurador) de: fev/15, jun/15, jul/15, ago/15, set/15, out/15, nov/15, dez/15, jan/16, fev/16, mar/16, abr/16, mai/16, jun/16, jul/16 e ago/16. o título iii, capítulo i da resolução cnsp 517/15 dispõe sobre o formulário de informações periódicas – fip/susep, aplicável aos mercados de resseguros, seguros, previdência complementar aberta e capitalização. assim, este normativo determina que os quadros do fip/susep deverão ser entregues por meio eletrônico, utilizando-se sempre a última versão do fip/susep e do manual de orientação, disponibilizados no sítio da susep. observa-se que os quadros do fip têm o objetivo de auxiliar a susep em seu dever de ofício de zelar pela liquidez e solvência das sociedades que integram o mercado segurador, sendo um dos mecanismos utilizado para verificar a solvência das supervisionadas. desta forma, os dados enviados devem refletir de forma fidedigna a situação e as operações das sociedades.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art. 88 do decreto-lei nº 73, de 1966 e alterações, combinado com a resolução cnsp 517, de 2015. base legal ou infralegal da penalidade aplicável: artigo 37 da resolução cnsp no 243/2011. elementos materiais de prova da suposta infração: cópia da carta cgsoa/copra/dimp2 nº62/2016; cópia da carta cgmop/copra/dimp1 nº31/2016; cópia do quadro de análise dos quadros estatísticos 377 e 380 do fip; cópia do quadro de análise dos quadros estatísticos 376 e 377 do fip.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anexos relatório de reincidências; cópia da carta cgsoa/copra/dimp2 nº62/2016; cópia da carta cgmop/copra/dimp1 nº31/2016; cópia do quadro de análise dos quadros estatísticos 376 e 377 do fip. </t>
  </si>
  <si>
    <t>01 - Art. 88 do Decreto Lei 73/66</t>
  </si>
  <si>
    <t xml:space="preserve"> assunto: corretores de seguros/outros celular: (11) 97419-4643 bairro: pq. erasmo assunção cidade: santo andré descrição dos fatos: empresa spx flow technology do brasil estipulante,eu ednilson denleschi funcionário beneficiário, foi dado entrada no sinistro seguradora chubb em 20/06/2016 caso de aposentadoria por invalidez acidentária declarada pelo inss em 27/01/2016.ja se passaram mais de trinta dias e não me passam nenhuma informação ou laudo conclusivo da questão,tanto a empresa quanto a corretora aon holdings (11) 30584800.os formulários e todos os demais documentos solicitados foram entregues como pediram, a apólice é numero 6078549.rh da empresa spx – larissa dias – tel: (11) 21278280 e-mail larissa.dias@spxflow.compor gentileza podem me ajudar a obter informações precisas e documental para que possa estar ciente da decisão da seguradora chubb. o sac da empresa foi acionado? obrigado. sim </t>
  </si>
  <si>
    <t>Não enviar as informações do fip/susep.</t>
  </si>
  <si>
    <t>01 - Art. 110 da Circ. SUSEP 517 de 2015, c/cs Art. 36 e 88 Decreto-lei 73/66.</t>
  </si>
  <si>
    <t xml:space="preserve"> 29/11/2017 falta: não enviar as informações do fipsusep. qualificação do agente supostamente responsável e, sendo o caso, do responsável solidário: comprev vida e previdência s.a., cnpj 33.634.999/0001-80, av mem sá, 247, 1º andar, parte centro, rio de janeiro - rj cep: 20.230-151 descrição circunstanciada do fato ou do ato constitutivo da suposta infração: a sociedade não encaminhou o quadro 376 do fip estatistico, dentro do prazo definido em norma, e cujo mês de referência é outubro de 2017. análise de autoria e materialidade da suposta infração: tendo em vista que após a análise dos fatos, informações e documentos acostados ao processo, não foi possível identificar a pessoa natural responsável pela conduta identificada como ilícito administrativo, considera-se a sociedade a autora da suposta infração. a data-limite para transmissão foi 28/11/2017, mas a entidade não transmitiu nenhuma carga válida até o presente momento, tendo assim prejudicado o trabalho de fiscalização indireta realizado pela susep. dispositivo legal ou infralegal supostamente infringido: artigo 110 da circular susep nº 517 de 30 de julho de 2015, c/c com os artigos 36 e 88 do decreto-lei nº 73 de 21 de novembro de 1966. base legal ou infralegal da penalidade aplicável: artigo 36 da resolução cnsp no 243/2011. elementos materiais de prova da suposta infração: relatório de atrasos na entrega do fip (sei:0494458) circunstâncias que possam afetar na dosimetria e na fixação da pena: para fins de fixação da pena, cumpre-se ressaltar que a sociedade não é reincidente em falta da mesma natureza, conforme relatório de reincidências em anexo. (sei:0494460) fixação da multa-base provisória: não sendo reincidente, a multa-base provisória foi fixada na cominação mínima prevista para a infração, e na hipótese do seu pagamento dentro do prazo, o representado terá direito ainda ao desconto de 40% conforme artigos 4º e 5º da resolução cnsp 331/2015. anexos relatório de reincidências (sei0494460); relatório de atrasos/inadimplências do fip/susep (sei:0494458), gru (sei:0494511) atenciosamente,</t>
  </si>
  <si>
    <t>Insuficiência de cobertura das reservas tecnicas</t>
  </si>
  <si>
    <t>05 - Art. 1 do Reg. Anexo à Res. CMN 3308/05 c/c §1, Art. 9 da Lei Complementar 109/01.</t>
  </si>
  <si>
    <t xml:space="preserve"> falta: 31/05/2016 insuficiência de cobertura das reservas tecnicas (aplicação). qualificação do agente supostamente responsável: aplub universitários do brasil, cnpj 92.672.070/0001-04. associação profissionais dos - liberais coordenação de monitoramento de ativos - comat av. presidente vargas, 730, 9° andar, centro, rio de janeiro - rj, cep 20.071-900 tel: (21) 3233-4000 / www.susep.gov.br m inistério da fazenda superintendência de seguros privado s representação a supervisionada não apresentou ativos garantidores vinculados, adequados à legislação em vigor, suficientes para a cobertura de suas provisões técnicas. o supervisionado apresentou r$ 336.845.673,03 de necessidade de cobertura de provisões técnicas referentes ao mês de maio/2016. para a cobertura desse saldo, os ativos garantidores vinculados pela entidade, no dia 31/05/2016, em conformidade com os arts. 101 a 103 da circular susep n° 517/15, apresentaram montante de r$ 218.904.096,76. desta forma, fica caracterizada uma insuficiência de r$ 117.941.576,27. art. 1° do regulamento anexo à resolução cmn n° 4.444/15 c/c § 1°, art. 9° da lei complementar n° 109/01. resolução cnsp n ° 243/2011: art. 42. aplicar ou vincular os recursos exigidos no país para garantia das operações da matriz ou os recursos garantidores das provisões técnicas e fundos especiais garantidores de suas operações e outras provisões exigidas, em desacordo com a legislação. sanção: multa de r$ 20.000,00 (vinte mil reais) a r$ 500.000,00 (quinhentos mil reais). relatório de reincidências, mapa de estudo da cobertura das provisões técnicas referente a mai/16. do ato da descrição circunstanciada fato do ou constitutivo suposta infração: análise de autoria e materialidade da suposta infração: dispositivo legal ou infralegal supostamente infringido: base legal ou infralegal da penalidade aplicável: elementos materiais de prova da suposta infração: coordenação de monitoramento de ativos - comat av. presidente vargas, 730, 9° andar, centro, rio de janeiro - rj, cep 20.071-900 tel: (21) 3233-4000 / www.susep.gov.br m inistério da fazenda superintendência de seguros privado s representação circunstâncias que podem afetar na dosimetria e na fixação da pena, inclusive de antecedentes e processos que possam gerar a majoração da pena por reincidência: a vinculação de ativos adequados às normas em vigor em montante insuficiente para a cobertura das provisões técnicas do supervisionado coloca em risco a sua capacidade de honrar os compromissos assumidos face aos participantes e assistidos. além disso, a figura da vinculação dos ativos dos supervisionados ao órgão regulador para cobertura das obrigações junto aos segurados está legalmente prevista e sua finalidade é clara ao nos remetermos, por exemplo, mas não somente, aos artigos 9, 28 e 50 da lei complementar n° 109/01. conforme art. 9° da referida lei complementar, art. 9o as entidades de previdência complementar constituirão reservas técnicas, provisões e fundos, de conformidade com os critérios e normas fixados pelo órgão regulador e fiscalizador.. conforme o §1° do mesmo artigo, ”§ 1o a aplicação dos recursos correspondentes às reservas, às provisões e aos fundos de que trata o caput será feita conforme diretrizes estabelecidas pelo conselho monetário nacional.. o art. 28, por sua vez, deixa claro que os ativos garantidores necessitam do aval da autarquia para que sejam movimentados, sendo essa uma evidente distinção entre ativos “livres” e garantidores, conforme se verifica através da transcrição do mesmo: ”art. 28. os ativos garantidores das reservas técnicas, das provisões e dos fundos serão vinculados à ordem do órgão fiscalizador, na forma a ser regulamentada, e poderão ter sua livre movimentação suspensa pelo referido órgão, a partir da qual não poderão ser alienados ou prometidos alienar sem sua prévia e expressa autorização, sendo nulas, de pleno direito, quaisquer operações realizadas com violação daquela suspensão. § 1o sendo imóvel, o vínculo será averbado à margem do respectivo registro no cartório de registro geral de imóveis competente, mediante comunicação do órgão fiscalizador. § 2o os ativos garantidores a que se refere o caput, bem como os direitos deles decorrentes, não poderão ser gravados, sob qualquer forma, sem prévia e expressa autorização do órgão fiscalizador, sendo nulos os gravames constituídos com infringência do disposto neste parágrafo. ” por fim, o art. 50 da lei complementar n° 109/01 cita um dos possíveis resguardos aos segurados fornecidos pelos ativos ditos garantidores, conforme transcrição a seguir: ”art. 50 (...) § 2o os participantes, inclusive os assistidos, dos planos de benefícios terão privilégio especial sobre os ativos garantidores das reservas técnicas e, caso estes não sejam suficientes para a cobertura dos direitos respectivos, privilégio geral sobre as demais partes não vinculadas ao ativo. (...)” coordenação de monitoramento de ativos - comat av. presidente vargas, 730, 9° andar, centro, rio de janeiro - rj, cep 20.071-900 tel: (21) 3233-4000 / www.susep.gov.br m inistério da fazenda superintendência de seguros privado s representação dessa forma, somente podem ser aceitos como ativos garantidores de provisões técnicas aqueles que estejam devidamente vinculados à susep, observados, ainda, os limites estabelecidos pela regulamentação em vigor. a existência de ativos “livres” por si só, não basta para reverter uma situação de insuficiência de cobertura de provisões técnicas, uma vez que a ausência de vínculo à susep a impede de exercer suas prerrogativas legais sobre os mesmos de forma a resguardar a situação de solvência do supervisionado e os interesses dos participantes e assistidos. a indicação da existência de ativos “livres” na carteira do supervisionado visa tão somente a indicar que a mesma pode amenizar ou resolver sua situação de insuficiência de cobertura vinculando-os à susep. a ausência de ativos “livres” em montante capaz de solucionar a insuficiência de cobertura de provisões técnicas revela uma situação muito mais grave do que a mera insuficiência, sendo combatida pelo órgão fiscalizador de forma bem mais gravosa, se não revertida em breve intervalo de tempo. reiteramos, portanto, que os ativos “livres” não podem, no estado em que se apresentam, ser considerados de nenhuma forma para efeito de cobertura de provisões, pois não possuem as garantias conferidas pelos ativos “vinculados”, estes, sim, garantidores de provisões. outras circunstâncias: o supervisionado não possui ativos vinculados, mesmo que inadequados às normas em vigor, suficientes para a cobertura de suas provisões técnicas. apenas alguns dos ativos livres apresentados pela empresa (imóveis) são vinculáveis e, caso fossem vinculados, poderiam ser aceitos apenas parcialmente para efeito de cobertura de reservas técnicas, conforme limitações previstas na resolução cmn 4.444/15, e ainda assim em montante muito inferior ao necessário para a cobertura das reservas técnicas. anexos mapa de estudo da cobertura das provisões técnicas referente a mai/16, relatório de reincidências, lista de ativos livres (fip). coordenação de monitoramento de ativos - comat av. presidente vargas, 730, 9° andar, centro, rio de janeiro - rj, cep 20.071-900 tel: (21) 3233-4000 / www.susep.gov.br m inistério da fazenda superintendência de seguros privados representação pelo todo exposto, intime-se a supervisionada representada a alegar o que bem entender em defesa das presentes autuações. rio d,e janeiro, 27/07/2016 de acordo. ernv^/_£/2016. fú jm im paulo q m sousa disol/cgmop/comat analista técnico - matrícula 1818410 — à y ___pernis barreira batista disol/cgmop/comat coordenador - matrícula 1784663 coordenação de monitoramento de ativos - comat av. presidente vargas, 730, 9o andar, centro, rio de janeiro - rj, cep 20.071-900 tel: (21) 3233-4000 / www.susep.gov.br</t>
  </si>
  <si>
    <t>01 - Art. 13 da Circular 292/2005.</t>
  </si>
  <si>
    <t xml:space="preserve"> 19/06/2019 - prazo máximo para atendimento da solicitação de 15 (quinze) dias, após o recebimento da ofício eletrônico nº 347/2019/susep/diretoria técnica 2/cgcof/coate/seide ( doc sei nº0489109) , (solicitação de acesso ao processo eletrônico),( doc sei nº 0494291), em 04/06/2019. falta: não atender, no prazo, às solicitações da autarquia, desde que tal conduta não seja caracterizada como ato ou omissão para dificultar ou impedir atividade de investigação ou fiscalização da susep. conduta prevista no anexo i da resolução cnsp nº 331/15: nº 43 - rito sumário qualificação do agente supostamente responsável e, sendo o caso, do responsável solidário: zurich santander brasil seguros previdência - cnpj nº 87.376.109/0001-06 descrição circunstanciada do fato ou do ato constitutivo da suposta infração: em atendimento ao ofício eletrônico nº 347/2019/susep/diretoria técnica 2/cgcof/coate/seide ( doc sei nº0489109) , recebido em 04/06/2019 ( solicitação de acesso ao processo eletrônico),( doc sei nº 0494291) a zurich santander brasil seguros previdência protocolou resposta em 21 de junho de 2019, ( doc sei nº 0502502), informando : a) com relação ao item 3 , anexa os documentos solicitados e b) quanto aos itens 1,2,4 e 5 : estamos levantando as informações e apresentaremos no prazo máximo de 10 dias contados do protocolo deste ofício, ou seja, no dia 01 de julho de 2019. entretanto a complementação da documentação só foi ocorrer em 10 de julho de 2019 ( fls.1/9 do doc sei nº 0512817), em virtude do ofício eletrônico nº 444/2019/susep/dir2/cgcof/coate/seide ( doc sei nº 0504627), ou seja, 10 (dez) dias após o proposto pela seguradora. efetivamente a seguradora demorou 35( trinta e cinco ) dias para entregar os documentos solicitados, ou seja, não atendeu à solicitação da susep dentro do prazo previsto. análise de autoria e materialidade da suposta infração: conforme descrição circunstanciada. dispositivo legal ou infralegal supostamente infringido: art. 13 da circular 292/2005. base legal ou infralegal da penalidade aplicável: parágrafo único do art. 37 da resolução cnsp nº 243/2011. elementos materiais de prova da suposta infração: ofício eletrônico nº 347/2019/susep/diretoria técnica 2/cgcof/coate/seide ( doc sei nº0489109); carta resposta ao ofício nº 347/2019 ( doc sei nº 0502502) ofício eletrônico nº 444/2019/susep/dir2/cgcof/coate/seide ( doc sei nº 0504627) carta resposta ao ofício nº 444/2019 (0512817); circunstâncias que possam afetar na dosimetria e na fixação da pena, inclusive de antecedentes e processos que possam gerar a majoração da pena por reincidência: não apurei a existência de circunstâncias agravantes ou atenuantes que possam afetar na dosimetria e na fixação da pena prevista no art. 11 e 12 da resolução cnsp nº 243/2011. para fins de fixação da pena, cumpre-se ressaltar que a sociedade não é reincidente em falta da mesma natureza, conforme relatório de reincidências em anexo. fixação da multa-base provisória: não sendo reincidente, a multa-base provisória foi fixada na cominação mínima prevista para a infração, e, na hipótese do seu pagamento dentro do prazo, o representado terá direito ainda ao desconto previsto no artigo 4º da resolução cnsp nº 331/2015. anexos: relatório de reincidência (0539765) atenciosamente,</t>
  </si>
  <si>
    <t>Realizar operação de seguro, cosseguro, resseguro ou capitalização sem a devida autorização, no país ou no exterior</t>
  </si>
  <si>
    <t>01 - § único do Art. 757 do Código Civil c/c Art. 24 e 113 Decreto-lei 73/66</t>
  </si>
  <si>
    <t xml:space="preserve"> 18/03/2016 (data da aprovação do estatuto) (fls. 215) ( doc. sei 0263604 ) falta: realizar operação de seguro, cosseguro, resseguro ou capitalização sem a devida autorização, no país ou no exterior. qualificação do agente supostamente responsável e, sendo o caso, do responsável solidário: asproleste - associação de apoio aos proprietários de veículos do leste de minas - agente responsável cnpj n° 09.278.542/0001-03 rua são paulo, n°. 113, centro - governador valadares - mg cep 35.010-180, davi godinho teixeira - responsável solidario cpf 382.339.636-15 rua peçanha, n° 43 - apto 102 - centro - governador valadares - mg cep 35010-160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3)parecer eletrônico susep/dicon/cgcof/coate nº 61/2018 ( 0347893)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doc sei 0263604 : estatuto social (fls. 197/215) ; garantia especial (fls.74/84).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0351732 atenciosamente,</t>
  </si>
  <si>
    <t>Art. 125 da Circ. SUSEP 517/15.</t>
  </si>
  <si>
    <t xml:space="preserve"> 23/02/2017 falta: publicar as demonstrações financeiras em desacordo com as normas vigentes. qualificação do agente supostamente responsável e, sendo o caso, do responsável solidário: alm seguradora s.a.- microsseguros, cnpj 23.694.731/0001-80, rua da quitanda, 62, sala 303, centro, rio de janeiro - rj, cep: 20011-030. descrição circunstanciada do fato ou do ato constitutivo da suposta infração: ao analisar os dossiês de sinistros, percebemos que três funerárias prestadoras de serviços constantemente se revezavam. em conversas com o diretor da alm seguros s.a., sr. edson antônio nascimento calheiros, fomos informados de que as prestadoras de serviços são empresas de propriedade dos três acionistas, razão pela qual é possível que os funerais sejam realizados pelo valor de r$3.000,00. para evidenciar a relação comercial entre as funerárias e a seguradora, solicitamos os contratos de prestação de serviços. a concessionária rio pax s/a, tem como diretor o sr. geraldo magela monge, de acordo com o cadastro da empresa no site da receita federal do brasil, e no contrato de prestação de serviços, como representante legal da empresa. a prestadora agência funerária santa casa de acari ltda tem como sócio- administrador o sr. alexandre meirelles barreto, segundo o cadastro da empresa no site da receita federal do brasil, e no contrato de prestação de serviços, como representante legal da empresa. o sr. leonardo martins a. silva é representante legal da empresa costa isaac ltda – me, conforme contrato de prestação de serviços. o comitê de pronunciamentos contábeis nº5 (cpc 05 – r1), no item 9 – “definições”, traz os conceitos de partes relacionadas: parte relacionada é a pessoa ou a entidade que está relacionada com a entidade que está elaborando suas demonstrações contábeis (neste pronunciamento técnico, tratada como “entidade que reporta a informação”). (a) uma pessoa, ou um membro próximo de sua família, está relacionada com a entidade que reporta a informação se: (i) tiver o controle pleno ou compartilhado da entidade que reporta a informação; (grifo nosso) (ii) tiver influência significativa sobre a entidade que reporta a informação; ou (iii) for membro do pessoal chave da administração da entidade que reporta a informação ou da controladora da entidade que reporta a informação. (b) uma entidade está relacionada com a entidade que reporta a informação se qualquer das condições abaixo for observada: (vii) uma pessoa identificada na letra (a)(i) tem influência significativa sobre a entidade, ou for membro do pessoal chave da administração da entidade (ou de controladora da entidade). (grifo nosso) conclui-se das orientações emanadas pelo cpc 05 (r1), que os acionistas da alm seguros s.a. são partes relacionadas com as empresas prestadoras de serviços funerários. desta forma, o referido cpc exige que as transações com partes relacionadas sejam divulgadas corretamente, seguindo a orientação contida nos itens 13 a 27. não houve a divulgação nas demonstrações contábeis relativas ao exercício findo em 31/12/2016 nem nas demonstrações intermediárias de 30/06/17, como pode ser constatado no documento sei 0180517 e 0180529. pela não divulgação das operações com partes relacionadas, a sociedade foi autuada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artigo 175 da circular susep 517/2015 c/c itens 13 a 27 do cpc 05 (r1). base legal ou infralegal da penalidade aplicável: artigo 27 da resolução cnsp nº 243/2011. elementos materiais de prova da suposta infração: - contratos com as prestadoras de serviços funerários (sei 0180514) - demonstrações contábeis do exercício financeiro findo em 31/12/2016 (sei0180517) e demonstrações intermediárias de 30/06/17 (sei 0180529). circunstâncias que possam afetar na dosimetria e na fixação da pena, inclusive de antecedentes e processos que possam gerar a majoração da pena por reincidência: não foram verificadas reincidências, agravantes ou atenuantes até a presente data.as condutas acima descritas, podem ser consideradas como infrações autônomas para efeito de aplicação de penalidade, a depender do juízo da autoridade julgadora. anexos - relatório de reincidências (0184254) </t>
  </si>
  <si>
    <t>01 - Art. 4, IV, e 8 da Res. CNSP 321/15 c/c Art. 10 da Circ. SUSEP 517/15.</t>
  </si>
  <si>
    <t xml:space="preserve"> 31/03/2016 falta: não constituir, constituir de forma inadequada ou fora do prazo provisão técnica ou fundo especial garantidor qualificação do agente supostamente responsável e, sendo o caso, do responsável solidário: luterprev - entidade luterana de previdência, cnpj 00.795.766/0001-00 rua luiz manoel gonzaga 450, conj. 804 - petrópolis - cep 90.470-280 - porto alegre - rs. descrição circunstanciada do fato ou do ato constitutivo da suposta infração: da análise das tabelas de base de dados estabelecidas no anexo viii da circular susep nº 360/2008, verificamos que, na data base de março/2016, em momento imediatamente anterior à transferência da carteira para a aspecir, a conta 2.2.4.2.1 – provisão matemática de benefícios a conceder (pmbac) apresentava significativa diferença deficitária em relação ao que deveria estar contabilizado, de acordo com o somatório da tabela resbenefaconc.dbf, constituindo-se insuficiência na provisão matemática de benefícios a conceder - pmbac de mais de mais de r$ 18 milhões, conforme evidenciado na tabela 1: tabela 1 - conciliação pmbac - data base: março/2016 resbenefaconc - somatório de vr_res 119.633.627 conta 2.2.4.2.1 - pmbac 101.506.785 deficit - 18.126.841 ainda, em trabalho posterior à transferência da carteira, realizou-se conciliação do saldo contabilizado na conta 2.2.4.2.1 com os documentos comprobatórios de investimentos da cia. que suportavam a contabilização, não tendo sido encontradas divergências, bem como realizou-se teste de consistência, por amostragem e análise de dossiês físicos, dos registros da base de dados, também sem divergências, o que evidencia a autenticidade da diferença. análise de autoria e materialidade da suposta infração: visando apurar a responsabilidade pelo déficit encontrado, enviamos ofícios aos diretores da cia. na época dos fatos, solicitando manifestação sobre o ocorrido, com informações e documentos que pudessem elucidar os fatos. neste sentido, obtivemos respostas tempestivas, mas que não foram capazes de firmar convicção sobre uma possível responsabilidade pessoal, seja de algum dos diretores, seja de terceiro. ao contrário disso, firmamos a convicção de ser difícil estabelecer a responsabilidade específica de alguma pessoa natural, visto que o déficit apurado, na verdade, muito provavelmente se perpetuou no tempo, tendo origem de práticas contábeis, financeiras e atuariais de longa data, anteriores à gestão dos diretores oficiados. desta forma, entendemos que não há elementos capazes de imputar a culpa a alguma pessoa natural especifica, devendo a responsabilidade pela infração recair sobre a luterprev entidade luterana de previdência, como pessoa jurídica, uma vez estando clara a materialidade de infração, cometida através do emprego de práticas contábeis, financeiras e atuarias da referida entidade. dispositivo legal ou infralegal supostamente infringido: arts. 4º, iv, e 8º da resolução cnsp 321/2015 c/c art. 10 da circular susep 517/2015. base legal ou infralegal da penalidade aplicável: art. 45 da resolução cnsp 243/2011. elementos materiais de prova da suposta infração: balancete de 31/3/2016 fornecido pela cia. -sei 0029255 tabela resbenefaconc (registros obrigatórios - data base 3/2016), conciliada com o balancete e evidenciando a diferença - sei 0184466 oficio de solicitação de esclarecimentos ao diretor - sei 0176009 resposta do diretor - sei 0145460 circunstâncias que possam afetar na dosimetria e na fixação da pena, inclusive de antecedentes e processos que possam gerar a majoração da pena por reincidência: da análise possível com os dados de que se dispõe, não verifica-se as circunstâncias agravantes ou atenuantes previstas nos artigos 10, 11 ou 12 da resolução cnsp nº 243/2011. para fins de fixação da pena, cumpre-se ressaltar que a sociedade é reincidente em falta da mesma natureza, conforme relatório de reincidências em anexo - sei 0187653. anexos relatório de reincidências - sei 0187653 base de dados ro - resbenefaconc - sei 0184466</t>
  </si>
  <si>
    <t>Contratar serviços de auditoria independente para fins regulatórios sem possuir os requisitos mínimos obrigatórios</t>
  </si>
  <si>
    <t>01 - Inc. I do Art. 100 c/c Art. 105 da Res. do CNSP 321/15</t>
  </si>
  <si>
    <t xml:space="preserve"> 26/02/2018 falta: contratar serviços de auditoria independente para fins regulatórios sem possuir os requisitos mínimos obrigatórios qualificação do agente supostamente responsável e, sendo o caso, do responsável solidário aplub - associação dos profissionais liberais universitários do brasil, cnpj 92.672.070/0001-04, av julio de castilhos, 10, bairro: centro, cep: 90.030-130, porto alegre - rs descrição circunstanciada do fato ou ato constitutivo da suposta infração a associação dos profissionais liberais universitários do brasil - aplub contratou a empresa assistants assessoria consultoria e participações ltda. - epp para realizar a auditoria atuarial referente à data-base de 31/12/2017. o membro responsável pela realização dessa auditoria atuarial independente foi a sra. andrea mente. de acordo com o art. 100 da resolução cnsp nº 321/2015, os membros responsáveis pela auditoria devem atender a alguns requisitos, dentre eles: art. 100. os membros responsáveis pela auditoria atuarial independente deverão atender, no mínimo, aos seguintes requisitos: i – possuir registro ativo e certificação específica válida no instituto brasileiro de atuária – iba; a sra. andrea mente não possuía, na data-base da auditoria atuarial realizada (31/12/2017), certificação específica válida no instituto brasileiro de atuária (iba). vale registrar que o iba emite alguns tipos de certificados, dentre eles o certificado específico de auditor atuarial. a sra. andrea mente, possuía apenas a certificação de atuário responsável técnico, o que não atende ao exigido pela norma no que diz respeito aos trabalhos de auditoria atuarial. de acordo com o art. 105 da resolução cnsp nº 321/2015 (seção iii - da responsabilidade das supervisionadas), os serviços atuariais realizados sem cumprir os requisitos mínimos obrigatórios serão considerados nulos para fins de atendimento às normas emanadas pelo cnsp e susep: art. 105. constatada a inobservância dos requisitos estabelecidos nesta resolução, as supervisionadas serão responsabilizadas e os serviços atuariais serão considerados nulos para fins de atendimento às normas emanadas do cnsp e da susep. considerando o exposto, todo o trabalho da auditoria atuarial, a saber, relatório da auditoria atuarial e parecer atuarial publicado em conjunto com as demonstrações financeiras da supervisionada, foi considerado nulo. análise de autoria e materialidade da suposta infração a sra. andrea mente é o membro responsável pela auditoria atuarial da supervisionada associação dos profissionais liberais universitários do brasil - aplub, conforme dados cadastrais (quadro 1) do sistema fip/susep (anexo 2) e também a pessoa que assina o parecer atuarial independente publicado em conjunto com as demonstrações financeiras (anexo 3). a sra. andrea mente não foi encontrada na lista de auditores atuariais certificados disponível no site do iba. ao ser consultado (anexo 4), o iba confirmou à susep que a sra. andrea mente não possuía certificação de auditor atuarial válida para 31/12/2017 (anexo 5). dispositivo legal ou infralegal supostamente infringido: inciso i do art. 100 c/c art. 105 da resolução do cnsp nº 321/2015 base legal ou infralegal da penalidade aplicável artigo 37 da resolução cnsp nº 243/2011 elementos materiais de prova da suposta infração parecer atuarial independente publicado em conjunto com as demonstrações financeiras da companhia associação dos profissionais liberais universitários do brasil - aplub, combinado com a confirmação do instituto brasileiro de atuária (iba) de que a sra. andrea mente não possuía certificação de auditora atuarial válida em 31/12/2017. circunstâncias que possam afetar na dosimetria e na fixação da pena, inclusive de antecedentes e processos que possam gerar a majoração da pena por reincidência para fins de fixação da pena, cumpre-se ressaltar que a associação dos profissionais liberais universitários do brasil - aplub não é reincidente em falta da mesma natureza, conforme relatório de reincidências (anexo 1). o trabalho da auditoria atuarial é utilizado pela cgmop/copra em seu trabalho de monitoramento à distância das sociedades supervisionadas. um dos documentos produzidos pela auditoria atuarial é o parecer atuarial, que contém a conclusão do trabalho realizado na auditoria atuarial e é disponibilizado ao público, pois é publicado em conjunto com as demonstrações financeiras das sociedades. considerando que a sra. andrea mente, membro responsável pela auditoria atuarial, não estava devidamente habilitada para o trabalho, o parecer atuarial da companhia associação dos profissionais liberais universitários do brasil - aplub foi considerado nulo, conforme disposto no art. 105 da resolução do cnsp nº 321/2015. alguns meses após ser questionada por e-mail pela susep a respeito de sua não habilitação para realização da auditoria atuarial, a sra. andrea mente apresentou por e-mail, em 30/08/2018, certificado de auditora atuarial com validade de 24/08/2018 até 23/08/2021 (anexo 6). como a certificação não é retroativa, ficou configurado o não atendimento aos requisitos mínimos normativos. anexos 1- relatório de reincidências; 2- aplub previdência: dados do quadro 01 do fip/susep; 3- aplub previdência: demonstração financeira com o parecer atuarial publicado; 4- ofício eletrônico nº 2/2018/susep/disol/cgmop/copra (consulta ao iba); 5- resposta do iba ao ofício copra; 6- certificação da sra. andrea mente como auditora atuarial a partir de agosto/2018. atenciosamente,</t>
  </si>
  <si>
    <t>Comercializar planos de seguro em desacordo com condições contratuais e/ou nota técnica protocolados na susep.</t>
  </si>
  <si>
    <t>01 - Art. 8 do Decreto 60459/67</t>
  </si>
  <si>
    <t xml:space="preserve"> quinta-feira, 23 de junho de 2016 16:2f via: in te rn e t data: 1 6 /0 6 /2 0 1 6 ? celular: (11) 99618-4079 bairro: c. cesar cidade: sao paulo assunto: seguro (inclusive vgbl)/outros ramos/demora no pagamento de indenização descrição dos fatos: ref apólice n 024612013000207760001118 (performace bond)p. sres.nos dias 03/11/2015 e 18/12/2015, comunicamos a seguradora que foi constatada a paralisação das obras, e consequentemente o sinistro.de lá pra cá temos mantido contato com a seguradora, fornecendo toda documentação necessária, e solicitando o pagamento do prêmio. fato é que a obra continua paralisada faltando 60% pra conclusão. no valor estimado para término de 25m. sendo 5,6m correspondentes ao termino de nossos aptos. sendo que nossa apólice cobre até o limite de 8m.o prazo pra entrega dos apartamentos seria setembro /16, quando vence a apólice.jamais serão entregues nesse prezo, nem se as obras retomassem hoje a todo vapor.não podemos mais aguardar, pois o seguro esta por vencer. mesmo porque, estamos sendo cobrados pelo condomínio, para o termino das obras. solicitamos o pagamento do prêmio. mas cada hora inventam uma novidade pra não efetuarem o pagamento.antes de entrarmos com uma ação contra a seguradora, que pode levar anos e prejudicando mais de 150 famílias, recorremos a essa prestigiada instituição a susep. contamos com vossa compreensão e colaboração.at.cia comercial e construtora jaceguavarubens krausz o sac da empresa sim foi acionado? documentos ripo número encaminhamentos atendente data o c o ^ í o s - 6 1 - 4 susep :: cgeti quinta-feira, 23 de junho de 2016 16:24 16/06/2016 16:56:46 +; smsfcp r e c la m a ç ã o e-mail enviado para ouvidoria@australseguradora.com texto: senhor (a) ouvidor (a), considerando os termos da resolução cnsp n.° 279, de 30 de janeiro de 2013, requeremos analisar o pleito, abaixo, e responder diretamente ao interessado, no prazo de 15 (quinze) dias, contados a partir da data de recebimento desta comunicação. solicitamos, ainda, que, no caso de insatisfação do reclamante com a resposta dessa ouvidoria, seja indicada a possibilidade de formalização de denúncia à susep. para acessar os dados da sua reclamação, clique aqui atenciosamente, superintendência de seguros privados - susep ao retornar à susep, informe o número do seu atendimento 2 - 4 susep :: cgeti ?? susfcf saewrtensèrwía «o segww pufradw e-mail enviado para rubens@aledo.com.br texto: prezado(a) senhor(a), reclamação quinta-feira, 23 de junho de 2016 16:2 16/06/2016 16:56:46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pessoalmente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necessarios-para-a-instauracao-de-processo-administrativo/relacao-de- documentos-necessarios-para-a-instauracao-de-processo-administrativo esclarecemos, por oportuno, que, no âmbito de competência desta autarquia, 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20071-900 são paulo rua formosa, 367 - 26° andar - edificio cbi são paulo - sp - cep: 01049-000 distrito federal setor bancário sul, quadra 1 - b l.k - 13° andar - ed. seguradora brasília - df - cep: 70093-900 rio grande do sul rua coronel genuíno, 421 - 1 1o andar centro histórico - porto alegre - rs - cep 90010-350 ao entrar em contato com a susep informe o número do seu atendimento. para acessar os dados da sua reclamação, clique aqui atenciosamente, superintendência de seguros privados - susep 3 - 4 susep :: cgeti ? ? s i i s t f sïspefibleodèntia áe sggvgg inwrfb» reclamação quinta-feira, 23 de junho de 2016 16:24 ao retornar à susep, informe o número do seu atendimento expediente número 10-005183/2016 anexado. cristianems 23/06/2016 16:24:15 a reclamação será transmitida à ouvidoria da empresa reclamada, para que sejam prestados os devidos esclarecimentos ou apresentada a solução para o questionamento formulado. caso não haja atendimento satisfatório no prazo de 15 (quinze) dias, a contar da data de encaminhamento da reclamação, o reclamante poderá requerer a abertura de processo administrativo, pessoalmente ou por carta, munido de cópia dos documentos comprobatórios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civil brasileiro susep, em 23/06/2016 reclamante / representante: atendente: matrícula siape: 4 - 4 susep :: cgeti [austral] seguradora superintendência de seguros privados expediente 10 - 005183/2016 superintendência de seguros privados - susep gabinete-gabin escritório de representação do gabinete no estado de são paulo av. presidente vargas, n° 730, 9o andar centro, rio de janeiro/rj cep: 20.071-900 rua formosa n° 367, 26° andar edifício cbi são paulo/sp cep: 01049-000 ref.: reclamação n° 2168737/2016 (“reclamação”) ;ão n1 o u i ) i i ! ¦ i1 u m . ¦ ; • , t ! í u o o l q a austral seguradora s.a., sociedade seguradora, inscrita no cnpj/mf sob o n° 11.521.976/0001-26, com sede na cidade e estado do rio de janeiro, na rua bartolomeu mitre, n° 336 parte (“seguradora”), representada nos termos do seu estatuto social, vem, em atenção à reclamação protocolada nesta r. autarquia sob o n° 2168737/2016, formulada por companhia comercial e construtora jaceguava (“segurado”), dar conhecimento a esta r. autarquia acerca da resposta à referida reclamação, encaminhada tempestivamente por esta seguradora ao segurado na presente data, nos termos e fundamentos ali expostos. tendo havido sido prestadas todas as informações necessárias ao correto e verdadeiro entendimento dos argumentos elencados na referida reclamação, ficamos à disposição desta r. autarquia para prestar quaisquer outros esclarecimentos adicionais. rio de janeiro, 20 de junho de 2016. austral seguradora s.t (bernardo de g. campos - procurador) austral seguradora s.a. avenida bartolomeu mitre, n° 336, parte, leblon - cep: 22.431-002 - rio de janeiro/rj - brasil central de atendimento:+55 21 3125-5500 serviço de atendimento ao cliente: 0800.767.0097 sac - deficiência auditiva ou de faia: 0800.767.0077 ouvidoria austral seguradora: 0800 202 2400 www.australsequradora.com 1 [austral] seguradora oh austral seguradora s,a. avenida bartolomeu mitre, n° 336, parte, lebion - cep: 22.431-002 - rio de janeiro/rj - brasil central de atendimento:+ 5 5 21 3125-5500 serviço de atendimento ao cliente: 0800.767.0097 sac - deficiência auditiva ou de faia: 0800.767.0077 ouvidoria austral seguradora: 0800 202 2400 www.australsequradora.com 2 [austral] seguradora c &gt; são paulo, 16 de maio de 2016. à companhia comercial e construtora jaceguava (“segurado”) cnpj: 62.031.711/0001-80 rua costa n° 31, cerqueira cesar são paulo - sp cep: 01304-010 a/c: sr. rubens krausz ref.: reclamação n° 2168737/2016 (“reclamação”) a austral seguradora s.a., sociedade seguradora, inscrita no cnpj/mf sob o n° 11.521.976/0001-26, com sede na cidade e estado do rio de janeiro, na rua bartolomeu mitre, n°336 parte (“seguradora”), representada nos termos do seu estatuto social, vem, em atenção à reclamação protocolada na superintendência de seguros privados (“susep”) sob o n° 2168737/2016, formulada por v.sa., apresentar os esclarecimentos abaixo e anexar a documentação pertinente que comprova o devido processo da regulação da expectativa de sinistro noticiada por v.sa., na tentativa de esclarecer e resolver a referida reclamação. na reclamação v.sa. alega a suposta demora por parte desta seguradora em indenizá-lo pelas unidades permutadas diante da impossibilidade de conclusão de obras sob responsabilidade da oas (“tomador”). contudo, a regulação da expectativa de sinistro formulada por v.sa. ainda está em andamento e, até o presente, não foi apurado o prejuízo efetivamente incorrido. porém, diante do aviso da paralisação da obra, esta seguradora adotou todas as providências cabíveis para apuração dos fatos noticiados e reclamados por v.sa., assim como os argumentos apresentados pelo tomador, conforme se demonstrará a diante. ao contrário do mencionado na reclamação formulada por v.sa., de que “a cada hora inventam uma novidade para não efetuarem o pagamento”, desde a primeira notificação da existência de uma expectativa sinistro, esta seguradora enviou reiteradas correspondências a v.sa. e ao tomador, solicitando o fornecimento de documentos e informações indispensáveis à condução do procedimento de regulação da expectativa de sinistro, bem como contratou uma empresa especializada em vistoria para apurar o real andamento da obra objeto da expectativa de sinistro. ou seja, esta seguradora vem adotando todas as medidas cabíveis no âmbito da regulação da expectativa de sinistro noticiada por v.sa. todavia, não obstante o suporte dado por esta seguradora, v.sa., de forma infundada, optou por abrir uma reclamação junto à susep. desta forma, para melhor esclarecer as verdades dos fatos ali noticiados, apresentamos abaixo um histórico detalhado de todo o procedimento que vem sendo adotado por esta seguradora. primeiramente, antes de falarmos sobre o processo de regulação, vale ressaltar que em junho de 2016, tomamos conhecimento de que v.sa. está em tratativas com o tomador, conforme minutas anexas do instrumento particular de transação e escritura de dação em pagamento, por meio dos quais o tomador oferece a v.sa., para pagamento integral da dívida, o valor de r$ 3.000.000,00 (três milhões de reais) e mais 35 unidades no bloco a (doc. 01 e doc. 02). austral seguradora s.a. avenida bartoiomeu mitre, n° 336, parte, leblon - cep: 22,431-002 - rio de janeíro/r.1 - pr«*,;? central de atendimento:+55 21 3125-5500 serviço de atendimento ao cliente: 0800,767,0097 sac - deficiência auditiva ou de fala: 0800.767.0077 ouvidoria austral seguradora: 0800 202 2400 www.australsequradora.com 1 [austral] seguradora ou seja, esta seguradora está adotando todas as medidas cabíveis para regulação da expectativa de sinistro, tendo, inclusive, contratado uma empresa especializada em perícia para apuração do suposto prejuízo indenizável, porém v.sa., paralelamente e sem dar qualquer conhecimento à esta seguradora, está em negociação com o tomador. o segurado não pode pleitear uma indenização de seguro enquanto está em negociação com o tomador. isso claramente demonstra que não existe de fato sinistro. com o objetivo de evidenciarmos o apuro desta seguradora na condução do procedimento de regulação da expectativa de sinistro formulada por v.sa., descreveremos e relembramos, a seguir, o histórico de correspondências enviadas recebidas por v.sa. durante o referido processo, senão vejamos: em 29/10/2015, recebemos a notificação extrajudicial encaminhada por v.sa., por meio da qual nos informam que as obras do empreendimento liberty boulevard encontram-se paralisadas. em 04/11/2015, notificamos o tomador para esclarecimentos o qual alegou que houve sobrestado da obra para levantamento de recursos suficientes à construção/finalização, sem contudo prejudicar o prazo de entrega da mesma. 3. em 08/12/2015, comunicamos v.sa. que a obra estava somente em sobrestado; em 18/12/2015, recebemos um aviso formal de expectativa de sinistro; em janeiro de 2016, contratamos uma empresa especializada em perícia para elaboração de laudo e apuração do andamento da obra; 6. em 21/01/2016, solicitamos formalmente os documentos fundamentais para continuidade da análise e 1. 2. 4. 5. regulação; obra. 7. em 02/02/2016, encaminhamos a v.sa. a conclusão do laudo elaborado pelo perito; 8. em 17/02/2016, o patrono constituído por v.sa. solicitou alguns documentos os quais foram disponibilizados; 9. em abril/2016, fomos comunicados por v.sa. da destituição do patrono e em 18/04/2016, encaminhamos a v.sa. uma carta esclarecendo como funciona o seguro garantia e a sua prescrição; 10. em 03/05/2016 recebemos uma planilha elaborada por v.sa., apresentado o valor de orçamento para término da 11. por fim, em 16/06/2016, encaminhamos uma carta solicitando que v.sa. se manifeste em relação à transação que está em negociação com o tomador. adicionalmente, v.sa. já foi informado que: “não obstante a conclusão da regulação de expectativa de sinistro emitida, caso não haja evolução no andamento da obra, evidenciando suposta paralisação ou retardamento excessivo, v.sas. deverão proceder na forma prevista nas cláusulas 9.2 e 9.3. das condições especiais da apólice, qual seja: 9.2. ocorrendo o retardamento ou a paralisação da obra sem justa causa, o segurado deverá notificar extrajudicialmente o tomador para adimplir suas obrigações. restando infrutífera a notificação extrajudicial austral seguradora s.a. avenida bartolomeu mitre, n® 336, 3° andar, leblon - cep: 22.431-002 - rio de janeiro/r.? ¦ ¦ rraçsi central de atendimento:+55 21 3125-5500 serviço de atendimento ao cliente: 0800.767.0097 sac - deficiência auditiva ou de fala: 0800.767.0077 ouvidoria austral seguradora: 0800 202 2400 www.australsequradora.com 2 [austral] seguradora feita ao tomador, o segurado deverá proceder na forma do inciso vi art. 43 da lei 4591/64 para caracterizar o sinistro. 9.3. o segurado deverá informar expressamente os fatos à seguradora, na mesma forma e data que o fizer ao tomador, sob pena de não o fazendo, não se caracterizar o sinistro. uma vez cumpridas as cláusulas acima, no que se refere à indenização, nos termos da cláusula 10 das condições especiais da apólice, após a caracterização e configuração do sinistro, a seguradora optará em indenizar o segurado, dentro de uma das formas abaixo: i. ii. continuidade da obra por meio de terceiros; pagando os prejuízos efetivamente incorridos. por fim, para que não reste dúvida em relação ao seguro, esclarecemos ainda que, os direitos de indenização, se forem devidos, estão devidamente resguardados, uma vez que: (i) o aviso da expectativa de sinistro ocorreu dentro do prazo de vigência da apólice; e (ii) a pretensão do segurado contra o segurador, prescreve em 1 ano, nos termos do artigo 206 do código civil. em relação ao prejuízo indenizável, solicitamos à empresa responsável pelo laudo, que retomasse o trabalho para desta vez apurar o valor efetivamente devido em caso de indenização. deste modo, não deve prosperar a reclamação formulada por v.sa. de que esta seguradora não teria dado curso à regulação da expectativa de sinistro. por outro lado, já reiteramos diversas vezes, em contatos telefônicos e por carta, que o fim de vigência da apólice objeto da reclamação não prejudicará os direitos de v.sa., uma vez que a prescrição decorre de lei, nos termos do artigo 206 do código civil. entendendo que foram prestadas as informações solicitadas, esta seguradora permanece à disposição de v.sa., como sempre este desde a primeira notícia de expectativa de sinistro, para prestar quaisquer esclarecimentos adicionais, anexando à presente toda a documentação citada acima. atenciosamente, austral seguradora s.a. ó l . . . . . , » . austral seguradora s.a. avenida bartolomeu mitre, n° 336, parte, lebíon - cep: 22.431-002 - rio de laneirn/r j — brasis central de atendimento:+s5 21 3125-5500 serviço de atendimento ao cliente: 0800.767.0097 sac — deficiência auditiva ou de fala: 0800.767.0077 ouvidoria austral seguradora: 0800 202 2400 www.australsequradora.com 3 [austral] seguradora documento 1 âustraí seguradora s,â. avenida sartolomeu mitre, n° 336, parte, leblon - cep: 22.433.-002 - rio de 3aneiro/kí - brasil centra! de atendimento:+55 21 3125-5500 serviço de atendimento ao cliente: 0800.767,0097 sac - deficiência auditiva ou de faia: 0800.767.0077 ouvidoria austra! seguradora: 0800 202 2400 www.australsequradora.com ( ) 4 escritura pública de dação em pagamento saibam, quantos esta escritura virem que aos [•] ([•]) dias do mês de [•] do ano de 2016 (dois mil e dezesseis), nesta cidade e capital do estado de são paulo, na [•], onde a chamado vim, e, perante mim tabelião, compareceram partes entre si, justas c contratadas a saber: - de um lado, como devedora e outorgante, doravante denominada simplesmente “oas”, o as 35 empreendimentos imobiliários spe ltda.. com sede na cidade de são paulo, estado de são paulo, na avenida angélica, n.° 2.220, 7o andar, consolação, inscrita no cnpj/mf sob o n.° 13.030.281/0001-77, com seus atos constitutivos registrados na jucesp sob nire 35.224.968.857, os quais ficam arquivados nestas notas sob n.° [•]/2016; neste ato, representada, por [•]; - de outro lado, como credora e outorgada, doravante denominada simplesmente por “jaceguava”, jaceguava empreendimentos imobiliários ltda. com sede na capital do estado de são paulo, na rua costa, n.° 31, sobreloja, cerqucira césar, inscrita no cnpj/mf sob o n.° 62.031.711/0001-80, com seus atos constitutivos registrados na junta comercial do estado de são paulo (jucesp) sob o nire 35.229.477.509, os quais ficam arquivados nestas notas sob n.° [•]/2016; neste ato, representada, conforme determina a cláusula sétima de seu contrato social, por seus administradores, rubens krausz. casado, engenheiro, portador da cédula de identidade rg n.h 6.999.988-ssp/sp e inscrito no cpf sob o n.° 076.596.098-23, denise krausz divorciada, psicóloga, portadora da cédula de identidade rg n.° 6.999.985-ssp/sp e inscrita no cpf/mf sob o n.° 076.596.118-01, roberto krausz casado, médico, portador da cédula de identidade rg n.° 6.999.984-3-ssp/sp c inscrito no cpf/mf sob o n.° 076.596.128-83, e ricardo krausz. casado, médico, portador de cédula de identidade rg n.° 6.999.990-9 e inscrito no cpf/mf sob o n.w 135.629.128-70, todos brasileiros, residentes e domiciliados na capital do estado de são paulo, com endereço comercial na sede da sociedade que administram. os presentes reconhecidos e por mim identificados como os próprios à vista dos documentos exibidos em seu original, do que dou fé. pelas partes me foi dito que: i - do histórico da dívida: 1.1. a o as adquiriu da jaceguava o imóvel localizado na cidade sào paulo, estado dc são paulo, na rua conselheiro furtado, liberdade, objeto da matrícula n.° 39.867, do 1° registro de imóveis de são paulo (“imóvel”), por meio dc /iscritura pública dc venda e compra, lavrada em 14 de março de 2014, perante o 9° tabelionato de notas de são paulo - sp, no livro 10.326, às fls. 291 (“escritura de venda e compra”), registrada sob o r.7/m.39.867, de 12 de agosto de 2014, para o desenvolvimento de empreendimento imobiliário, dividido em unidades autônomas, na forma da lei federal n.° 4.591/1964 (“empreendimento”), finalizando construção iniciada pela cooperativa flabitacional dos bancários — bancoop (“bancoop”). antiga possuidora e titular dos direitos aquisitivos do imóvel, conforme alvará dc aprovação e execução de edificação nova n ° 2003/24433-00 (“projeto aprovado”). 1.2. a alienação do imóvel pela jaceguava à oas foi efetuada pelo preço total, certo e ajustado de r$ 5.443.016,00 (cinco milhões, quatrocentos c quarenta e três mil c dezesseis reais), pago da seguinte forma: (b.l) - r$ 1.000.016,00 (um milhão e dezesseis reais), em moeda corrente, anteriormente a escritura de venda e compra, e (b.2) - r$ 4.443.000,00 (quatro milhões, quatrocentos e quarenta e três mil reais), por meio de uma nota promissória, de igual valor e com vencimento na data da escritura de venda e compra, emitida pela oas cm favor da jaceguava, recebida em caráter pro soluto. 1.3. as partes novaram a dívida representada pela nota promissória acima mencionada, nos termos da escritura pública de novação, confissão de divida com promessa de dação em pagamento, lavrada em 14 de março de 2014, perante o 9o tabelionato de notas de sào paulo - sp, no livro 10.326, às fls. 299 (“flscritura de novação”), para que a mesma fosse paga pela oas por meio de dação em pagamento de área já construída c a construir no imóvel, correspondente a 3.562,60m2 (três mil, quinhentos e sessenta e dois metros quadrados e sessenta centímetros quadrados) de área privativa do empreendimento, equivalente a 74 (setenta e quatro) unidades autônomas no projeto aprovado, com direito cada uma a 01 (uma) vaga dc garagem, em local indeterminado na área comum do empreendimento. ft 1.4. considerando que, a bancoop realizou parte das obras do empreendimento, tendo finalizado 100% (cem por cento) das obras do bloco b, 30,4% (trinta vírgula quatro por cento) das obras do bloco a e 5,1% (cinco vírgula um por cento) das obras da área comum do empreendimento, conforme consignado pelas partes na escritura de novação. após a aquisição do imóvel, a oas para consecução do empreendimento, na forma da lei federal n.° 4.591/1964, adotou as seguintes providências: (a) - promoveu o registro da incorporação imobiliária do empreendimento, denominado de residencial jjber/y poukvard, de acordo com o projeto aprovado, nos termos do r.8/m.39.867 c av.10/m.39.867, de 26 de setembro de 2014 e 17 de outubro de 2014, respecdvamente; (b) - averbou a construção das áreas edificadas anteriormente pela bancoop, de acordo com o certificado de conclusão n.° 2005/29215-00 (“habite-se”), emitido em 02 de setembro de 2005, pela prefeitura do município de são paulo, conforme a av.27/m.39.867, de 24 de julho de 2015; e (c) - institui e especificou parcialmcnte o condomínio do elmpreendimento, transformando em propriedade condominial a construção das áreas edificadas pela bancoop, individualizando as unidades autônomas do bloco b, com a abertura das respectivas matrículas, nos termos do r.28/m.39.867, av.29/m.39.867 e av.30/m.39.867, de 24 de julho de 2015. 1.5. além disso, em cumprimento parcial a dação em pagamento ajustada na escritura de novação, referente às unidades autônomas do bloco b que cabiam a jaceguava, as partes lavraram a jiscritura pública de dação em pagamento, em 05 de outubro de 2015, perante o 16° tabelionato de notas de são paulo — sp, no livro 4.393, às fls. 101/114, pela qual a oas transferiu a jaceguava as unidades autônomas 11-b, 13-b, 22-b, 24-b, 35-b, 37-b, 46-b, 48-b, 51-b, 53-b, 55-b, 62-b, 64-b, 75-b, 77-b, 86-b, 88-b, 91-b, 93-b, 96-b, 102-b, 104-b, 115-b, 117-b, 126-b, 128-b, 131-b, 135-b, 142-b, 144-b, 153-b, 155-b, 157-b, 166-b, 168-b, 171-b, 173-b, 182-b e 184-b, pelo montante de r$ 2.328.858,87 (dois milhões, trezentos e vinte e oito mil, e oitocentos e cinquenta e oito reais e oitenta e sete centavos), mediante a outorga pela jaceguava em favor da oas da mais ampla, geral, rasa e irrevogável quitação referente a tal valor e às unidades autônomas do bloco b recebidas. 1.6. posteriormente, as partes ajustaram, de comum acordo, que para o cumprimento integral das obrigações assumidas pela oas na escritura de novação, notadamcnte a dação em pagamento, a oas transferirá somente a jaceguava a fração ideal de 0,122171 do imóvel, que corresponde às unidades autônomas do bloco a do empreendimento que cabem a jaceguava, quais sejam: 16-a, 18-a, 27-a, 32-a, 34-a, 41-a, 53-a, 58-a, 67-a, 72-a, 74- a, 81-a, 83-a, 84-a, 96-a, 98-a, 105-a, 107-a, 112-a, 114-a, 121-a, 123-a, 134-a, 138-a, 145-a, 146-a, 147-a, 152-a, 154-a, 161-a, 163-a, 176-a, 178-a, 185-a e 187-a, pelo valor total de r$ [• ] ([•], o que, neste ato, é aperfeiçoado, não cabendo mais a oas a obrigação de edificar as unidades autônomas prometidas em pagamento e suas respectivas áreas comuns. ii - do imóvel: 2.1. a oas é a única e exclusiva proprietária, de forma absolutamente livre e desembaraçada de dúvidas, litígios, ônus, restrições de tributos ou despesas de qualquer natureza, da fração ideal de 0,122171 do imóvel localizado na cidade são paulo, estado de são paulo, na rua conselheiro furtado, liberdade, objeto da matrícula n.° 39.867, do 1° registro de imóveis de são paulo (“imóvel”), assim descrito e caracterizado: “um plirri ino, no 2 subdisirito — liberdade, contribuinte n.° 033.023.0005, com a seguinte descrição e metragem: - ciji ba - “b”: - inicia sua descrição, num ponto situado do lado do n.° 864 da rua conselheiro i hirtado, lendo 51.10m de frente para a mesma; deflete à direita em extensão de 1,99m, /agendo divisa com josefina grigoleli e outros; deflete depois à esquerda, em linha perpendicular a última divisa, numa extensão de 23.85m, confinando com josefina grigoleti e outros; desse ponto deflete à direita em um ângulo quase reto, numa extensão de 20,00m, fagendo divisa com irmãos libonati; dobra desse ponto à esquerda, numa extensão de 16,35m, divisando nesse perímetro com propriedade dos irmãos ljbonati e também com savério bragaglia; desse ponto deflete ã esquerda num ângulo quase reto, numa extensão de 10,30m, fagendo divisa com propriedade de savério bragaglia; - desse ponto deflete à direita, em uma linha quase perpendicular a última, numa extensão de 11,6()m, divisando com propriedade de reinaldo pastoglione; nesse ponto, deflete à direita, numa extensão de 44,25m, fagendo divisa com propriedade de nuno de azevedo; daí desse ponto deflete â esquerda numa extensão de 35,40m, fagendo divisa com propriedade da cia. comercial e construtora jaceguava; em seguida, deflete à esquerda em ângulo reto, numa extensão de 14,70m, divisando com propriedade da cia. comercial e construtora jaceguava; daí deflete à direita, em linha perpendicular a última, numa extensão de 45,90m, fagendo divisa com propriedade da cia. comercial e construtora jaceguava; nesse ponto deflele à direita, em ângulo quase reto, em direção a rua conselheiro furtado, numa extensão de 8,40m, fapendo divisa com propriedade de josé rodrigues ou sucessores; dobra novamente à direita em uma extensão de 1,52m, fapendo divisa com propriedade de josé rodrigues ou sucessores; deflete então desse ponto à esquerda, em direção à rua conselheiro i hirtado, numa extensão de 14, oom, em linha perpendicular à última, fazendo divisa com propriedade de josé rodrigues ou sucessores, chegando então, até o ponto onde se iniciou esta descrição, com uma área de 3.437,36m2\ onde está sendo implantado o empreendimento, nos termos do memorial de incorporação registrado (r.8/m.39.867 e av.io/m.39.867, de 26 de setembro de 2014 e 17 de outubro de 2014, respectivamente), sendo que referida fração ideal c correspondente as unidades autônomas 16-a, 18-a, 27-a, 32-a, 34-a, 41-a, 53-a, 58-a, 67-a, 72-a, 74-a, 81-a, 83-a, 84- a, 96-a, 98-a, 105-a, 107-a, 112-a, 114-a, 121-a, 123-a, 134-a, 138-a, 145-a, 146-a, 147- a, 152-a, 154-a, 161-a, 163-a, 176-a, 178-a, 185-a c 187-a. 2.2. a fração ideal do imóvel, acima referida, está cadastrada perante a prefeitura do município de são paulo sob o contribuinte n.w 033.023.1927-4, em área maior, com valor venal e valor venal de referência proporcional para o presente exercício de rs 296.038,66 (duzentos e noventa e seis mil, oitocentos e trinta e oito reais e sessenta e seis centavos) e 11$ 464.025,74 (quatrocentos e sessenta e quatro mil, vinte e cinco reais e setenta e quatro centavos), respectivamente. 2.3. a oas adquiriu a fração ideal do imóvel, acima referida, por meio da escritura de venda e compra, mencionada na alínea (a), do capítulo 1, acima, bem como registro o memorial de incorporação do empreendimento e instituiu parcialmcntc o condomínio edilício, conforme indicado no item 1.4, supra. iii - da dação em pagamento: 3.1. pela presente escritura e na melhor forma de direito, em cumprimento integral ã escritura de novação, mencionada no capítulo i, acima, a oas dá em favor da jaceguava a fração ideal de 0,122171 do imóvel, no estado cm que se encontra, em dação em pagamento, pelo valor de r$ [• ] ([•], transmitindo-lhe em consequência, neste ato, toda a posse, domínio, direitos e ações que tinha e exercia sobre a mesma, obrigando-se por si c sucessores a fazer a presente dação sempre boa, firma e valiosa e a responder pela evicção de direito unicamente por atos de responsabilidade da própria oas, visto que a responsabilidade pela evicção de direito dos anteriores proprietários do imóvel é da própria jaceguaya, em razão da venda do imóvel que efetivou à oas. 3.1.1. a fração ideal do imóvel dada em pagamento é correspondente as unidades autônomas do empreendimento designadas por 16-a, 18-a, 27-a, 32-a, 34-a, 41-a, 53-a, 58-a, 67-a, 72-a, 74-a, 81-a, 83-a, 84-a, 96-a, 98-a, 105-a, 107-a, 112-a, 114-a, 121-a, 123-a, 134-a, 138-a, 145-a, 146-a, 147-a, 152-a, 154-a, 161-a, 163-a, 176-a, 178-a, 185-a e 187-a, melhor descritas e caracterizadas conforme segue: apartamentos n.°s 16-a. 34-a, 53-a. 74-a. 83-a. 84-a. 96-a. 105-a. 114-a. 123-a. 134-a. 145-a. 146-a. 154-a, 163-a. 176-a e 185-a: area privativa total area de uso comum total área total (privativa + comum) coeficiente de proporcionalidade (fração ideal no solo) 0,003055 apartamentos n.°s 18-a. 27-a. 32-a. 41-a. 58-a, 67-a. 72-a. 81-a. 98-a. 107-a. 112-a. 121- a. 138-a. 147-a. 152-a 161-a. 178-a e 187-a: área privativa total área de uso comum total área total (privativa + comum) coeficiente de proporcionalidade(fraçào ideal no solo) 41,750 m2 .36,51.3 m2 78,263 m2 55,420 m2 41,375 m2 96,795 m2 0,003902 3.1.2. a jaceguava declara expressamente que: (a) - vistoriou o empreendimento, conhece o atual estágio das obras, aceitando a fração ideal que lhe foi dada em pagamento e as construções existentes no estado em que se encontram; (b) — tem pleno conhecimento das disposições da lei federal 4.591/64 c legislação complementar, declarando-se ciente que terá que arcar com o custo de construção referente as suas unidades autônomas c respectiva área comum; e, (c) - conhece o projeto aprovado, as disposições do memorial de incorporação registrado e da convenção de condomínio 3.2. considerando o instrumento público de dação em pagamento mencionado no item 1.5, supra, anteriormente lavrado, do qual esta escritura é complementar, a presente dação em pagamento é feita em cumprimento integral à kscritura de novação, razão pela qual a jaceguava outorga em favor da oas a mais ampla, geral, rasa, irrevogável e irretratável quitação de todas as obrigações assumidas na escritura de novação e decorrentes da incorporação imobiliária do empreendimento, declarando ainda, expressamente, que a oas deixa de ter, perante a jaceguava, quaisquer obrigações cm relação á construção e conclusão do empreendimento. 3.2.1. ante o cumprimento integral das obrigações da oas perante a jaceguava, a via original da apólice de seguro garantia para construção e entrega das unidades autônomas da jaceguava (“seguro garantia”), contratada anteriormente pela oas junto à seguradora austral seguradora s.a., no valor de r$ 8.000.000,00 (oito milhões de reais), sob o n.° 02461201300020776000118, é restituída à oas neste ato, tornando-se inexigível. 3.3. todos os custos e tributos relacionados à lavratura da presente escritura, tais como emolumentos de tabelião e de oficial de registro dc imóveis, bem como o itbi, serão de responsabilidade exclusiva da jaceguava. iv - dos tributos e despesas: 4.1. ajustam as partes que todos os tributos, despesas, passivos de qualquer natureza e eventuais multas incidentes sobre o imóvel devidos de 31 de maio de 2002 até a presente data são de responsabilidade única e exclusiva da oas, ainda que venham a ser lançados ou cobrados futuramente, ressalvado o disposto no item 4.2, abaixo. além disso, aquilo que for devido com fato gerador até 30 de maio de 2002 e posterior a presente data é de responsabilidade exclusiva da jaceguava, ainda que cobrado cm nome da oas. 4.2. todos os custos relacionados à construção c conclusão do empreendimento que correspondem à fração ideal do imóvel dada cm pagamento a jaceguava, independentemente a data do fato gerador, a partir da presente escritura cabem a jaceguava, sem qualquer participação e/ou ônus para oas. v - disposições finais: 5.1. a presente escritura é feita em caráter irrevogável e irretratável, obrigando as partes, assim co</t>
  </si>
  <si>
    <t>Emitir apólice ou certificado individual de seguro, sem o preenchimento de proposta.</t>
  </si>
  <si>
    <t>01 - art 9.º DL 73/66 c/c caput do art 2.º Dec 60.459/1967 c/c caput do art 1.º da Cir 251/04 c/c pu do art 6.º da Res 107/2004 c/c art 5.º Res 294/13</t>
  </si>
  <si>
    <t xml:space="preserve"> 01/03/2019 (fl. 14 do doc sei 0491431), data do certificado mais recente falta: emitir apólice ou certificado individual de seguro, sem o preenchimento de proposta. conduta prevista na resolução cnsp nº 331/2015: 19 - emitir apólice ou certificado individual de seguro, sem o preenchimento de proposta. qualificação do agente supostamente responsável e, sendo o caso, do responsável solidário: chubb seguros brasil s.a., situada à av. rebouças, 3.970, 25º andar (parte b), 26.º, 27.º e 28º andares, pinheiros, são paulo - sp, cep: 05.401-450, cnpj: 03.502.099/0001-18, código fip: 0651-3 descrição circunstanciada do fato ou ato constitutivo da suposta infração: em 31/05/2019, a sudamerica vida corretora de seguros ltda encaminhou os certificados de fls. 11/68 do doc sei 0491431, nos quais consta o nome da chubb seguros brasil s.a. certificados nome cpf proposta doc sei 0491431 maria do couto saviotti 705051106-44 0000562647 fls. 11/12 waldino klitzke 217598639-04 0000590520 fls. 13/14 eunice maria dasilva 029323146-02 0000558901 fls. 15/16 eugenio abraao de lima 294441524-72 0000325333 fls. 17/18 silveria dias nascimento 402147375-00 0000504367 fls. 19/20 rosa mitama tabata 307433928-41 0000433840 fls. 21/22 zilda fructo da silva 155878001-72 0000515423 fls. 23/24 isabel cristina prati barba 101700338-64 0000429793 fls. 25/26 maria aparecida gomes da silva 052658758-08 0000547153 fls. 27/28 lucas tavares pires 981101601-15 0000512238 fls. 29/30 helenita maria dos santos 129830158-07 0000429621 fls. 31/32 reginaldo suter 792009668-53 0000425920 fls. 33/34 pedro kutacho 374652609-49 0000433544 fls. 35/36 maria eulalia wanderley da silva a 723309707-06 fls. 37/38 cilma aparecida ferreira 057919376-44 0000436187 fls. 39/40 josefa maria dasilva 076281448-96 0000430536 fls. 41/42 ambrosina pereira neta da cunha 057783601-34 0000377887 fls. 43/44 belcides rodrigues dasilva 485609104-25 0000459256 fls. 45/46 gedeon pereira dos santos 503929648-72 0000360912 fls. 47/48 adao baptista serafim 119556357-49 0000361663 fls. 49/50 maria leilada silva 143577981-91 0000350367 fls. 51/52 maria aparecida navajas nogara 095015838-05 0000256322 fls. 53/54 daniella da silva porto cavalcanti 927214511-20 0000229966 fls. 55/56 vanderlina marques evangelista 092067348-14 0000515410 fls. 57/58 elzira behrendsen buttow 610933359-04 0000128270 fls. 59/60 deise sanchez 422088668-00 0000399380 fls. 61/62 antonieta coelho dos santos 849472847-49 0000322423 fls. 63/64 brasiliano de mello neto 322342608-68 0000460455 fls. 65/66 alba da silva santos 245059359-49 0000481380 fls. 67/68 assim, esta susep enviou à chubb seguros brasil s.a. o ofício eletrônico 375/2019/susep/diretoria técnica 2/cgcof/coate/seide (doc sei 0493249) solicitando o seguinte: “tendo em vista os documentos apresentados pela sudamérica vida corretora de seguros ltda, conforme documento 0491431, encaminho o presente processo à seide para solicitar manifestação à chubb seguros brasil s.a., que deverá enviar, necessariamente, as cópias das propostas de seguros assinadas pelos segurados ou outros documentos que comprovem sua adesão, bem como documentação relacionada à cobrança de prêmio e eventual cancelamento dos contratos com devolução dos prêmios.” (grifo meu) em resposta, a chubb seguros brasil s.a. se apresentou aos autos (doc sei 0502156) informando que: inicialmente, a chubb esclarece que os produtos objeto dos certificados anexados às fls. 305/362 são vendidos pela sudamérica e respectiva corretora. quando a venda é realizada presencialmente, a proposta de adesão é assinada pelo próprio segurado (vide docs. 1 a 3). no entanto, quando a venda é realizada com a utilização de telemarketing ativo, a proposta de adesão ao seguro é assinada pelo corretor, após a confirmação do segurado acerca da contratação e autorização de débito em conta. referida confirmação e autorização para débito em conta é realizada por telefone e devidamente gravada (vide docs. 4 a 6 e mídias) ou por meio de declaração assinada pelo próprio segurado (v id e does. 7 a 9). (grifo meu) (fl. 02 do doc sei 0502156) assim, a companhia encaminhou as propostas de fls. 04/40 do doc sei 0502156 e os aúdios contidos no doc sei 0502768. propostas nome cpf doc sei 0502156 sergio sarubbi moura 321302100-82 fls. 04/05 sirlei macedo dos santos 359890760-53 fls. 07/08 valter nunes dos santos 220459290-00 fls. 10/11 nildite rose fernandes dias zago 082862868-80 fls. 13/14 neusa maria andrade sardinha 009717726-14 fls. 16/17 patricia da silva bem 604617059-15 fls. 19/20 etelvina souza duarte 091163117-87 fls. 22/23 maria de lourdes dos santos pires 667088777-91 fls. 26/27 teresinha de almeida nascimento 567629337-34 fls. 30/31 erotides josé da silva 438321569-68 fls. 34/35 nilsa ribeiro 024336759-79 fls. 38/39 cabe ressaltar que a chubb seguros brasil s.a. não encaminhou as propostas de seguro referentes aos certificados individuais encaminhados pela sudamerica vida corretora de seguros ltda (fls. 11/68 do doc sei 0491431). assim, considerando que houve emissão dos certificados e que não houve a apresentação de proposta assinada (manuscrita ou digital) por parte dos segurados, ou do seu representante legal ou do corretor habilitado; conclui-se que a chubb seguros brasil s.a. infringiu o artigo 9.º do decreto lei 73/66 c/c caput do artigo 2.º do decreto 60.459/1967 c/c artigo 1.º da circular susep 251/04 c/c parágrafo único do artigo 6.º da resolução cnsp 107/2004 c/c artigo 5.º da resolução cnsp 294/13. entende-se, s.m.j., que práticas infracionais dessa natureza são passíveis da sanção administrativa prevista no caput do artigo 31 da resolução cnsp 243/2011.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com efeito, o que se observa é que a(s) infração(ões) tem o envolvimento de vários profissionais do quadro funcional da sociedade, de distintos níveis hierárquicos, pertencentes principalmente às áreas de operações e de compliance. dispositivo legal ou infralegal supostamente infringido: artigo 9.º do decreto lei 73/66 c/c caput do artigo 2.º do decreto 60.459/1967 c/c caput do artigo 1.º da circular susep 251/04 c/c parágrafo único do artigo 6.º da resolução cnsp 107/2004 c/c artigo 5.º da resolução cnsp 294/13 base legal ou infralegal da penalidade aplicável: entende-se, s.m.j., que práticas infracionais dessa natureza são passíveis da sanção administrativa prevista no caput do artigo 31 da resolução cnsp 243/2011. elementos materiais de prova da suposta infração: manifestação da sudamerica vida corretora de seguros ltda (doc sei 0491431); ofício eletrônico 375/2019/susep/diretoria técnica 2/cgcof/coate/seide (doc sei 0493249) e resposta (doc sei 0502156 e 0502768). circunstâncias que possam afetar na dosimetria e na fixação da pena, inclusive de antecedentes e processos que possam gerar a majoração da pena por reincidência como subsídio à avaliação da dosimetria, foi extraído o relatório de antecedentes (doc sei 0510653). para fins de fixação da pena, cumpre-se ressaltar que a sociedade é reincidente em falta da mesma natureza, conforme relatório de reincidências em anexo (doc sei 0510654). por fim, observa-se que não foram constatadas circunstâncias agravantes e nem atenuantes, nos termos dos artigos 11 e 12 da resolução cnsp 243/2011. fixação da multa-base provisória: tendo sido verificadas 3 reincidências para a mesma falta, conforme anexo, a multa-base provisória corresponde ao dobro do valor da cominação mínima prevista para a infração, e, na hipótese do seu pagamento dentro do prazo, a autuada terá direito ainda ao desconto previsto no artigo 4º da resolução cnsp nº 331/2015. anexos relatório de antecedentes (doc sei 0510653) relatório de reincidências (doc sei 0510654) atenciosamente,</t>
  </si>
  <si>
    <t>Não concluir a formalização de contratos de operações relacionadas às atividades supervisionadas no prazo previsto na legislação</t>
  </si>
  <si>
    <t>01 - Art. 88 do Decreto Lei 73/66 c/c Art. 2 do §2 do Anexo do Decreto 60459/67.</t>
  </si>
  <si>
    <t xml:space="preserve"> assunto: seguro (inclusive vgbl)/vida/outros descrição dos fatos: sou contribuinte de seguro de vida junto a zurich santader brasil seguros de vida e previdência s/a há bastante tempo. recentemente, desde o mês de junho/2016, estou com problemas quanto ao recebimento dos carnês de pagamento do prêmio, bem como o envio de certificado dos seguros que tenho com aquela entidade. um desses seguros foi, inclusive, cancelado por falta de envio dos citados carnês para a continuidade dos pagamentos. busquei contato com a gerência do banco santander e a gerência enrolou e não solucionou tais problemas até hoje. por isso é que procuro a susep no sentido de pedir que a autarquia mantenha contato com a entidade reclamada para que o presente problema logo se regularize. sendo assim, peço que a susep contate a seguradora reclamada e cobre da mesma todos os esclarecimentos que o caso exige, além de regularizar o envio dos carnês para pagamento, as atualizações dos certificados de seguro, bem como a reativação do seguro de vida considerado cancelado por erro da empresa reclamada. não o sac da empresa foi acionado? </t>
  </si>
  <si>
    <t>Não observar as normas legais ou contratuais na assistência financeira</t>
  </si>
  <si>
    <t>01 - O Inc. IV do Art. 4 da Circ. SUSEP 320/06.</t>
  </si>
  <si>
    <t xml:space="preserve"> [01/11/2016] falta: não observar as normas legais ou contratuais na assistência financeira qualificação do agente supostamente responsável e, sendo o caso, do responsável solidário: sabemi seguradora s.a., cnpj nº 87.163.234/0001-38, rua sete de setembro, 515 – térreo, 5º e 9º andares bairro centro porto alegre – rs cep: 90.010-190 descrição circunstanciada do fato ou do ato constitutivo da suposta infração: a sabemi seguradora possuía 84.452 (oitenta e quatro mil e quatrocentos e cinquenta e dois) contratos de assistência financeira que totalizam de saldo devedor o valor aproximado de 1,690 bilhões de reais em outubro de 2016. foi identificado que em 84.313 (99,84%) dos contratos de assistência financeira houve repasses realizados pela sabemi para terceiros, do valor das assistências que deveriam ser repassado na sua integralidade para os participantes. esses pagamentos (“descontos”) realizados pela seguradora, de acordo com o indicado nas planilhas encaminhadas, tratam-se de depósitos para empresas de consultoria, corretora de seguros, empresas de representação, prestadoras de serviços, promotoras de vendas, assessoria comercial, entre outras. dessa forma, considerando que tais pagamentos ocorrem aproximadamente em todos os contratos, fica evidente que na prática são despesas, pois não há como contratar a assistência financeira se não houver pagamentos para empresas prestadoras de serviços. além disso, foi solicitado por meio do ofício susep/dicon/cgcof nº 9/2016 – 03, anexo sei n° 0110879, a justificativa da diferença entre o valor depositado a título de assistência financeira na conta do contratante e o valor de fato constante, os referidos contratos de abertura de crédito, os demonstrativos de valores pagos ao assistido e a outras pessoas jurídicas, de vinte e cinco assistidos, escolhidos aleatoriamente dentre as assistências financeiras vigentes no mês de outubro de 2016. a partir da documentação apresentada, montamos a tabela do anexo sei (0110863). na amostra referenciada acima, confirmou-se a ocorrência de pagamentos de despesas realizados pela sabemi para empresas de assessoria, serviços, intermediação e outras, evidenciando que o participante não recebeu a totalidade dos recursos contratados e corroborando que não há a contratação de assistência sem o pagamento de empresas prestadoras de serviços, configurando o pagamento de despesas. como justificativa, a sabemi apresentou resposta única para todos os casos, conforme documento anexo sei (0109294), informando que entre os pagamentos há o destino de recursos para instituições financeiras para a quitação de dívidas, assim como há recursos destinados a empresas que são prestadoras de serviços, as quais possuem relação comercial com várias instituições e negociam os produtos da sabemi, além disso alegam que os pagamentos foram realizados pela sabemi por ordem e autorização expressa dos participantes, mediante livre ajuste diretamente pactuado entre estes e as empresas envolvidas. assim, embora tenha ocorrido transferências de parte dos recursos para os próprios participantes e para instituições financeiras para a quitação de suas dívidas, ficou demonstrado que despesas comerciais, como o pagamento a prestadora de serviços, que são responsabilidade da seguradora, estão sendo pagas pelos assistidos. dessa forma, ficam caracterizados indícios do cometimento de irregularidade, visto que o inciso iv do art. 4° da circular susep n° 320/2006 veda qualquer cobrança de despesas comercias de seus participantes, que não sejam as referentes aos encargos de juros, multa e atualização monetária, eventuais impostos ou despesas de cobrança.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despesas comerciais, como o pagamento a prestadora de serviços, que são responsabilidade da seguradora, estão sendo pagas pelos assistidos, por repasses realizados diretamente pela sabemi para terceiros, do valor das assistências que deveriam ser repassado na sua integralidade para os participantes. dispositivo legal ou infralegal supostamente infringido: o inciso iv do art. 4° da circular susep n° 320/2006. base legal ou infralegal da penalidade aplicável: art. 70 da resolução cnsp no 243/2011. elementos materiais de prova da suposta infração: elementos: contrato de af, valores depositados aos participantes e pagamentos realizados pela sabemi seguradora para terceiros para os seguintes casos (25 empréstimos): - adilson correia da silva - sei (0111606); - andrea marques vaz - sei (0111608); - ariosvaldo da silva vital - sei (0111612); - bianor miranda maia - sei (0111619) - caio cesar silva grilo - sei (0111621) - cremilda souza de franca - sei (0111964) - eliomar moreira silva - sei (0112005) - elizabeth do socorro almeida dos santos - sei (0112008) - francisco paulo da silva - sei (0112012) - francisco roberto rodrigues martins - sei (0112015) - gladys batista fernandes da silva - sei (0112017) - gustavo souza neto - sei (0112018) - helio queiroz da silva (1) - sei (0112020) - helio queiroz da silva (2) - sei (0112023) - ivan lopes meira - sei (0112025) - joao tadeu gutterres geruntho - sei (0112032) - josildo marcelo muricy silva - sei (0112034) - leandro de lima e silva - sei (0112036) - luciano martins dos santos - sei (0112038) - maria de fatima santos da silva - sei (0112041) - maria thereza de andrade souza - sei (0112043) - marivaldo abreu de oliveira - sei (0112044) - monica maria correia pimenta - sei (0112046) - odilson ferreira alves feitosa filho - sei (0112048) - solange olimpia pereira de castro melo - sei (0112068) circunstâncias que possam afetar na dosimetria e na fixação da pena, inclusive de antecedentes e processos que possam gerar a majoração da pena por reincidência: observando o disposto no inciso ii do artigo 11 da resolução cnsp no 243/2011, foi verificado que 6 (seis) participantes dos 25 (vinte e cinco) casos da amostra tinham mais de 60 anos na data da contratação da assistência financeira e nas datas dos respectivos pagamentos: nome data da contratação data de nascimento idade (anos) ariosvaldo da silva vital 31/10/2016 07/06/1950 66,40 cremilda souza de franca 31/10/2016 08/01/1954 62,81 eliomar moreira silva 09/07/2013 28/11/1950 62,61 francisco paulo da silva 31/10/2016 05/10/1950 66,07 maria thereza de andrade souza 26/06/2007 15/05/1931 76,11 marivaldo abreu de oliveira 31/10/2016 04/09/1955 61,15 para fins de fixação da pena, cumpre-se ressaltar que a sociedade não é reincidente em falta da mesma natureza, conforme relatório de reincidências em anexo sei (0111345). anexos - ofício susep/dicon/cgcof nº 9/2016 – 03, anexo sei (0110879), - tabela amostra 25 casos - sei (0110863), - anexo esclarecimento - justificativa sabemi (0109294), - relatório de reincidências sei (0111345), - anexo quadro 01 – dados cadastrais do fip/susep - sei (0111347), anexos com os documentos: contrato de af/pagamento crédito concedido/sabemi pagamentos para terceiros para os 25 casos: - adilson correia da silva - sei (0111606); - andrea marques vaz - sei (0111608); - ariosvaldo da silva vital - sei (0111612); - bianor miranda maia - sei (0111619) - caio cesar silva grilo - sei (0111621) - cremilda souza de franca - sei (0111964) - eliomar moreira silva - sei (0112005) - elizabeth do socorro almeida dos santos - sei (0112008) - francisco paulo da silva - sei (0112012) - francisco roberto rodrigues martins - sei (0112015) - gladys batista fernandes da silva - sei (0112017) - gustavo souza neto - sei (0112018) - helio queiroz da silva (1) - sei (0112020) - helio queiroz da silva (2) - sei (0112023) - ivan lopes meira - sei (0112025) - joao tadeu gutterres geruntho - sei (0112032) - josildo marcelo muricy silva - sei (0112034) - leandro de lima e silva - sei (0112036) - luciano martins dos santos - sei (0112038) - maria de fatima santos da silva - sei (0112041) - maria thereza de andrade souza - sei (0112043) - marivaldo abreu de oliveira - sei (0112044) - monica maria correia pimenta - sei (0112046) - odilson ferreira alves feitosa filho - sei (0112048) - solange olimpia pereira de castro melo - sei (0112068)</t>
  </si>
  <si>
    <t>Não propor a junta médica dentro do prazo estabelecido.</t>
  </si>
  <si>
    <t>02 - Art. 6, §3, da Circ. SUSEP 302/05</t>
  </si>
  <si>
    <t>Causar prejuízo a segurado/participante/seguradora/entidade/terceiro</t>
  </si>
  <si>
    <t>01 - Art. 127 do Decreto Lei 73/66 c/c Art. 23 da Circ. SUSEP 510/15.</t>
  </si>
  <si>
    <t>solicitação terça-feira, 19 de junho de 2018 15:06 dados da solicitação protocolo: 4103072/2018 situação: em aberto assunto: denúncia/corretores/outros via: carta data: 19/06/2018 denunciado: britanica confiance corretora de seguros a reclamação consiste na contratação de seguro em nome do reclamante, texto: sem que ele tenha autorizado a contratação. dados do interessado segurado: paul david cull cpf/cnpj: 012.053.256-54 uf: rio de janeiro dados de contato e-mail: paul@paulcull.org telefone: endereço: rua manoel cristiano bussinger, lote 23 cep: 28.613-730 celular: (22) 99866-5658 bairro: nova friburgo cidade: nova friburgo susep, em 19/06/2018 interessado: ________________________________________________ atendente: ________________________________________________ newton marques matrícula siape: 11 - susep :: cgeti</t>
  </si>
  <si>
    <t>Não atualizar os valores dos prêmios, contribuições, capitais segurados ou benefícios, conforme o contrato ou regulamentação em vigor</t>
  </si>
  <si>
    <t>01 - Art. 6 da Lei Complementar 109/01</t>
  </si>
  <si>
    <t xml:space="preserve"> 01/07/2014 falta: não atualizar os valores dos prêmios, contribuições,capitais segurados ou benefícios, conforme o contrato ou regulamento em vigor - a entidade aplicou reajustes técnicos às contribuições do plano de pecúlio (objeto do processo susep n.º 8095/69), sem haver sua previsão no regulamento, para o período de diferimento. conduta prevista na resolução cnsp n.º 331/2015: conduta n.º 13 - não atualizar os valores dos prêmios, contribuições,capitais segurados ou benefícios, conforme o contrato ou regulamento em vigor qualificação do agente supostamente responsável e, sendo o caso, do responsável solidário: aplub - associação dos profissionais liberais universitários do brasil cnpj n.º 92.672.070/0001-04 endereço: av. júlio de castilhos 10 - centro - porto alegre - rs cep.: 90.030-130 descrição circunstanciada do fato ou ato constitutivo da suposta infração: a entidade aplicou reajustes técnicos às contribuições do plano de pecúlio (objeto do processo susep n.º 8095/69), sem haver sua previsão no regulamento, no período de setembro de 2012 até julho de 2014, conforme histórico de contribuições apresentado (fls. 90/102) do processo susep n.º 15414.001304/2016-75. base legal ou infralegal da penalidade aplicável: art. 70 da resolução cnsp no 243/2011. análise de autoria e materialidade da suposta infração: tendo em vista que após análise, não se verificam informações ou documentos acostados ao processo que contenham elementos que possibilitem a individualização da conduta de pessoa natural na responsabilidade pela infração, considera-se a entidade a autora da suposta infração. a partir da análise dos critérios de reajustes constantes do regulamento do plano, quando comparado à evolução das contribuições no período de setembro de 2012 até julho de 2014 apresentado pela entidade, com aquele calculado pela dipec, observa-se à evidente discrepância de valores. tal procedimento contraria o disposto no art. 6º da lei complementar n.º 109, de 2001. dispositivo legal ou infralegal supostamente infringido: art. 6º da lei complementar n.º 109, de 2001. base legal ou infralegal da penalidade aplicável: art. 70 da resolução cnsp n.º 243, de 2011. elementos materiais de prova da suposta infração: anexo i 0012949 - parecer susep/dicon/cgcom/copep/dipec/n.º 466/2016 : trata da análise da reclamação objeto do processo susep n.º 15414.001304/2016-75, no qual a reclamente solicita-nos a conferência dos reajustes aplicados nos valores de contribuição dos planos contratados junto à aplub. anexo ii 0012954 - proposta n.º 795435, assinada em 13/03/1973. anexo iii 0012957 - regulamento do plano de pecúlio objeto do processo susep n.ºn.º 8095/69. anexo iv 0012962 - nota técnica atuarial do plano de pecúlio objeto do processo susep n.º 8095/69. anexo v 0012966 - histórico da evolução das contribuições do plano encaminhadas pela entidade. anexo vi 0012969- parecer susep/detec/gepep/dipla/n.º 1.409/98. anexo vii 0012971- parecer/prger/contencioso n.º 3843/98. anexo viii 0012973 - parecer susep/detec/gepep/dipla/n.º 8491/2003. anexo ix 0012974 -termo de julgamento : no qual o conselho diretor da susep resolveu não autorizar o reajuste dos planos de pecúlio e pensão reajustável - séries i e ii da aplub previdência privada, dado que estes não possuem em seus regulamentos previsão para ajustes. anexo x 0012976 - ofício/susep/defis/gecre/nº 306/2004 : por meio do qual a aplub tomou ciência do termo de julgamento do conselho diretor. anexo xi 0012977- despacho/pf-susep/scadm/n.º 644/2013 : por meio do qual a procuradoria federal junto à susep confirma a manutenção do termo de julgamento do conselho diretor datado de 11/11/2004. anexo xii 0012978 - parecer susep/seger/coate/dical/n.º 315/2014 : ratifica o posicionamento do conselho diretor. anexo xiii 0012981- parecer susep/dirat/cgpro/copep/dipec/n.º 184/15 : ratifica integralmente o posicionamento da dical, no que se refere à possibilidade de aplicação dos reajustes que estejam apenas especificados nos regulamentos e nas notas técnicas atuariais dos referidos planos. anexo xiv 0012983- parecer n.00038/2015/sasre/pfsusep/pgf/agu : mantêm o posicionamento anterior já exarado pela procuradoria federal. anexo xv 0012996- documento de identificação da participante/reclamante circunstâncias que possam afetar na dosimetria e na fixação da pena, inclusive de antecedentes e processos que possam gerar a majoração da pena por reincidência: não será considera a aplicação de agravantes, atenuantes ou antecedentes, por se tratar de rito sumário, conforme estabelece o parágrafo 5º do art. 4º da resolução cnsp no 331/2015. para fins de fixação da pena, cumpre-se ressaltar que a entidade não é reincidente em falta da mesma natureza, conforme relatório de reincidências em anexo. fixação da multa-base provisória: não sendo reincidente, a multa-base provisória foi fixada na cominação mínima prevista para a infração, e, na hipótese do seu pagamento dentro do prazo, o representado terá direito ainda ao desconto previsto no artigo 4º da resolução cnsp nº 331/2015. anexos anexo xvi 0013167 - relatório de reincidências. anexo xvii 0013169 - dados cadastrais da entidade. anexo xviii 0013170- dados cadastrais da entidade - identificação do diretor de relações com a susep, na data base 06/2016 (última disponível). </t>
  </si>
  <si>
    <t>01 - Art. 80, Caput, da Res. CNSP 140/05 c/c Art. 60 da Circ. SUSEP 339/07.</t>
  </si>
  <si>
    <t xml:space="preserve"> 22/12/2014 (data de inscrição no seguro vgbl, conforme informação da companhia através do doc sei 0073817). falta: emitir apólice ou certificado individual de seguro, sem o preenchimento de proposta. conduta prevista no anexo i da resolução cnsp n°331/2015. conduta 19 - emitir apólice ou certificado individual de seguro, sem o preenchimento de proposta. qualificação do agente supostamente responsável e, sendo o caso, do responsável solidário: bradesco vida e previdência s.a., cnpj 51.990.695/0001-37, situada à avenida alphaville, 779 – 10º andar – sala 1002/lado b – empresarial 18 fort – barueri/sp – cep: 06472-900. descrição circunstanciada do fato ou do ato constitutivo da suposta infração: a resolução cnsp nº 140/2005 determina o que segue: art. 5º considerar-se-ão, para efeito desta resolução, os seguintes conceitos: ... xxviii – proponente: interessado em contratar a cobertura (ou coberturas) ou em aderir ao contrato, no caso de contratação sob a forma coletiva; ... xxx – proposta de contratação: documento em que o proponente, pessoa física ou jurídica, expressa a intenção de contratar uma cobertura (ou coberturas), nele manifestando pleno conhecimento do regulamento e, no caso de contratação sob a forma coletiva, do respectivo contrato; ... art. 80. a seguradora somente poderá aceitar o protocolo de proposta de inscrição preenchida, datada e assinada pelo proponente. (artigo alterado pela resolução cnsp nº 294/13). § 1º a seguradora deverá ter a comprovação da data de protocolo de cada proponente. § 2º o disposto no caput deste artigo não se aplica aos seguros contratados por meios remotos, nos termos da regulação específica, no que se refere à assinatura do proponente. no mesmo sentido, a circular susep n° 339/2007 estabelece o seguinte: art. 60. a sociedade seguradora somente poderá aceitar o protocolo da proposta de contratação ou adesão, se preenchida, datada e assinada pelo proponente ou seu representante legal, devidamente constituído. pelo exposto, conclui-se que o corretor não tem competência para assinar proposta de contratação de seguros vgbl, visto que a sociedade seguradora somente poderá aceitar proposta de contratação de seguro vgbl que esteja preenchida, datada e assinada pelo próprio proponente ou seu representante legal, devidamente constituído, e o proponente deve manifestar o pleno conhecimento do regulamento através da proposta de contratação. e, como será demonstrado a seguir, a bradesco vida e previdência s.a. infringiu o artigo 80, caput, da resolução cnsp n° 140/2005 e o artigo 60 da circular susep n° 339/2007. durante a instrução do procedimento de atendimento ao consumidor (pac), processo susep n° 15414.609347/2016-01, a companhia foi instada a prestar esclarecimentos e encaminhar documentos referente aos contratos de seguro vgbl emitidos em nome de adelber cardoso rodrigues. em resposta ao ofício eletrônico n° 109/2017/susep/dicon/cgcof/coate/seide (doc sei 0064071), a denunciada informou (doc sei 0073817) que a reclamação versa sobre a contratação dos planos de previdência privada denominados vgbl individual referentes ao processo susep n° 15414.002418/2011-28 – cancelado – e processo susep n° 15414.902056/2014-10 – ativo. o produto referente ao processo susep n° 15414.002418/2011-28 foi contratado por meio da proposta n° 46 2028445, cuja cópia foi juntada pela companhia através do doc 02.1 do doc sei 0074825. apesar de a seguradora ter informado, em resposta ao ofício eletrônico n° 109/2017/susep/dicon/cgcof/coate/seide, que “o autor assinou uma proposta de adesão ... tomando ciência de todas as cláusulas contratadas do mencionado seguro”, verifica-se que a companhia destacou como prova desta alegação a imagem da parte da proposta em que consta a assinatura do corretor (p. 4 do doc sei 0073817). ao analisar a cópia da proposta n° 46 2028445 (doc 02.1 do doc sei 0074825) não foi possível identificar nenhuma assinatura que pudesse ser atribuída ao proponente, conforme já alegado por este na carta de abertura do pac (doc sei 0031219). por todo o exposto, considerando que o reclamante informou que não assinou a proposta, que a companhia destacou a assinatura do corretor como prova de que a proposta estava assinada e que o corretor não tem a competência normativa para assinar a proposta de inscrição de seguro vgbl em nome do proponente, conclui-se que a companhia emitiu apólice de seguro vgbl sem o preenchimento de proposta, nos termos da legislação vigente. assim, a bradesco vida e previdência s.a. infringiu o artigo 80, caput, da resolução cnsp n° 140/2005 c/c o artigo 60 da circular susep n° 339/2007 ao aceitar o protocolo da proposta n° 46 2028445 (doc 02.1 do doc sei 0074825) sem a assinatura do proponente. análise de autoria e materialidade da suposta infração: tendo em vista que após a análise, não se verificam informações ou documentos que contenham elementos que possibilitem a individualização da conduta de pessoa natural na responsabilidade pela infração, considera-se a sociedade a autora da suposta infração. com efeito, o que se observa é que a(s) infração(ões) tem o envolvimento de vários profissionais do quadro funcional da sociedade, de distintos níveis hierárquicos, pertencentes principalmente às áreas de operações, produtos e compliance. a materialidade da suposta infração está detalhada no item “descrição circunstanciada do fato ou do ato constitutivo da suposta infração”. dispositivo legal ou infralegal supostamente infringido: artigo 80, caput, da resolução cnsp n° 140/2005 c/c o artigo 60 da circular susep n° 339/2007. base legal ou infralegal da penalidade aplicável: tal ocorrência é passível de sanção administrativa prevista no artigo 31 da resolução cnsp nº 243/2011. elementos materiais de prova da suposta infração: carta de abertura do pac, processo susep n° 15414.609347/2016-01 (doc sei 0031219); ofício eletrônico n° 109/2017/susep/dicon/cgcof/coate/seide (doc sei 0064071) e reposta (doc sei 0073817); cópia da proposta n° 46 2028445 (doc 02.1 do doc sei 0074825). circunstâncias que possam afetar na dosimetria e na fixação da pena, inclusive de antecedentes e processos que possam gerar a majoração da pena por reincidência: para fins de dosimetria da pena, observa-se que não foram constatadas circunstâncias agravantes e atenuantes, nos termos dos artigos 11 e 12 da resolução cnsp nº 243/2011. para fins de fixação da pena, cumpre-se ressaltar que a sociedade é reincidente em falta da mesma natureza, conforme relatório de reincidências em anexo. fixação da multa-base provisória: tendo sido verificadas 6 (seis) reincidências para a mesma falta, a multa-base provisória foi fixada no dobro da cominação mínima prevista para a infração, e na hipótese de pagamento dentro do prazo, o representado terá direito ainda ao desconto previsto no artigo 4º da resolução cnsp 331/2015. anexos consulta ao sistema de penalidades – relatórios de reincidências e antecedentes (doc sei 0168802 e 0168805).</t>
  </si>
  <si>
    <t>Não pagar indenização dpvat no prazo previsto.</t>
  </si>
  <si>
    <t>01 - artigo 5º, §1º da Lei nº 6.19474, alterada pela Lei nº 11.482/2007, combinado com o artigo 8º da Resolução CNSP nº 332/2015.</t>
  </si>
  <si>
    <t xml:space="preserve"> assunto: seguro (inclusive vgbl)/dpvat/invalidez/exigências abusivas 1 - susep :: cgeti 8 descrição dos fatos: à susep – superitendência de seguros privadosreferente ao processo de sinistro reclamação quinta-feira, 19 de outubro de 2017 15:07 dpvat: 3170245055reinaldo cunha ferreira, já qualificado no processo acima em epígrafe, vem, respeitosamente, por intermédio de seu representante e bastante procurador edenilson pinho de oliveira, residente e domiciliado a rua da independência, nº. 300, bairro dionísio mota, cep 48.890-000, valente/ba (procuração em anexo) com fulcro no artigo 3º da lei 6.194/74 e demais disposições aplicáveis à matéria propor a presente.investigação e proibição da arbitrariedade da seuradora líder dos consórcios do seguro dpvat, pela exigência abusiva que determina impedimento da liquidação e conclusão do processo, por falta de declaração do proprietário do veículo em que a vítima foi envolvida sem qualquer responsabilidade civil, pelo inadiplemento da obrigação do proprietário de pagar o premio do seguro dpvat referente ao exercicio da vigência em que ocorreu o sinistro.em face da seguradora líder do consórcio do seguro dpvat s.a., pessoa jurídica de direito privado, inscrita no cnpj sob o n.º 09.248.608/0001-04, com sede na rua senador dantas, n.° 74, 5° andar, centro, rio de janeiro/rj.dos fatos:do cotejo da documentação que ora coleciona o processo em epígrafe, no dia 28/06/2016 o beneficiário foi vítima de acidente automobilístico sofrendo diversas lesões de natureza grave (laudo médico de verificação de incapacidade funcional em anexo ao processo)no dia 03 de maio de 2017 a companhia de seguros aliança da bahia, proponente da seguradora líder informou que para a conclusão do processo a vítima ou seu representante legal deverá apresentar declaração do proprietário do veículo, conforme se encontra no site oficial da seguradora líder http://www.dpvatsegurodotransito.com.br/ o formulário de declaração do proprietário do veículo com as seguintes informações:fundamentação jurídica:é inegável que no caso relatado que a seguradora pendenciou o processo alegando que a declaração em questão é indispensável para a conclusão da regulação e pagamento do processo, o pedido abusivo deixa bem claro que a seguradora pretende obter informações atualizadas do proprietário do veículo que deixou de pagar o premio do seguro dpvat no ano do exercício do acidente em que a vítima foi envolvida.contudo, sabemos que a lei nº. 6.194/74, no artigo 8º, estabelece que a sociedade seguradora poderá, haver do responsável o reembolso do valor indenizado a terceiros pelo inadimplemento da obrigação do pagamento do bilhete do seguro dpvat, correspondente ao ano do exercício do sinistro, assim estabelece o artigo abaixo: “art. 8º comprovado o pagamento, a sociedade seguradora que houver pago a indenização poderá, mediante ação própria, haver do responsável a importância efetivamente indenizado.”porém, o artigo 7º, da mesma lei estabelece que será paga a indenização devida, nos mesmos valores, condições e prazos, às vítimas de acidente de transito. o legislador não condicionou a obrigação de apresentar “declaração do proprietário do veículo” quando se tratar de vítima que não tem responsabilidade civil sob o veículo sinistrado no acidente, e que este documento exigido arbitrariamente fosse juntamente com todos os documentos essenciais para a liquidação do processo como requisito de obtenção do seu direito.assim, o legislador não garantiria ao beneficiário o direito da indenização mesmo com o seguro não realizado ou vencido, como situa o artigo abaixo:“art. 7o a indenização por pessoa vitimada por veículo não identificado, com seguradora não identificada, seguro não realizado ou vencido, será pago nos mesmos valores, condições e prazos dos demais casos por um consórcio constituído, obrigatoriamente, por todas as sociedades seguradoras que operem no seguro objeto desta lei.”todavia, a pretensão da seguradora em ludibriar o beneficiário solicitando a declaração do proprietário do veículo sinistrado é para obtenção de informações atualizadas para uma futura demanda judicial em face do proprietário do veículo pelo inadimplemento da obrigação que tornou o ato danoso à seguradora.da prova (carta cobrança de devolução de indenização) que define a exigência da declaração de proprietário e o fim a que se destina:esta analise e afirmação de que a declaração de proprietário de veículo exigida pela seguradora se deu exclusivamente para 2 - susep :: cgeti 8 reclamação quinta-feira, 19 de outubro de 2017 15:07 que a mesma possa adquirir informações atualizadas dos dados pessoais do proprietário de veiculo, isso se concretizou pela comprovação através de carta cobrança já efetuada em outros processos dpvat na esfera administrativa, tendo como principal demandante a seguradora líder dos consórcios do seguro dpvat, cobrança esta via carta correios endereçada ao “suposto proprietário” o pedido de devolução dos valores indenizados à vítima envolvida no acidente.abaixo demostramos o modelo da carta cobrança da seguradora líder com todo conteúdo na integra:seguradora líder – dpvat_______________________________________________________________________rio de janeiro, 29 de janeiro de 2015.carta devolução dpvat nº. 00001390503ressarcimento 1º avisosenhor (a) orlando marques carneirocpf nº: 108.935.555-68identificamos, em nossos sistemas, que o veículo de sua propriedade envolveu-se em um acidente de trânsito com vítima(s) indenizada(s) pelo seguro dpvat, conforme dados abaixo:placa do veículo: nyr – 0140chassi: 9c2kd0550br546501data do acidente: 30/10/2012local do acidente: queimadasuf: banº do boletim de ocorrência: 2013vítima (s): domingas silva medradocom base em dados sistêmicos, identificou-se que, na época do acidente, o seguro dpvat do veículo de sua propriedade não estava pago.a lei que regulamenta o dpvat (lei 6.194/1974) determina que o proprietário do veículo que não estava em dia com o pagamento do seguro dpvat, na data do acidente, devolva/reembolse o(s) valor(es) que foi(ram) desembolsado(s) para pagamento da(s) indenização(ões).sendo assim, solicitamos entrar em contato conosco por meio do nº 0800- 7013427, para efetuar a devolução da(s) indenização (oes) paga(s) nos moldes da legislação em vigor.caso o pagamento do seguro dpvat tenha sido efetuado ainda no ano do acidente, pedimos que seja encaminhada cópia do comprovante de pagamento dp dpvat para baixa em nossos sistemas. o encaminhamento poderá ser efetuado por correio eletrônico no endereço ressarcimento@megadata.com.br ou através do fax nº (21) 2224-0893. após o envio da comprovação do pagamento do seguro dpvat, a solicitação de ressarcimento será desconsiderada.atenciosamente, seguradora líder dpvatcomo desvela a carta cobrança, deverá à seguradora compreender que existem números crescentes de pessoas que adquirem veículos com a venda devidamente formalizada com dut (documento único de transferência) datado e assinado pelo vendedor e comprador com firmas reconhecidas por autenticidade, mas estes que se comprometem após a compra em realizar a transferência dentro do prazo legal de 30 (trinta) dias, na maioria das vezes os compradores não cumprem com suas obrigações, inclusive pela própria brecha da lei do ctb (código de transito brasileiro) - nº 9.503/1997, art. 123. que estabelece: “será obrigatória à expedição de novo certificado de registro de veículo quando”, inciso i: “for transferida a propriedade”, e ainda o paragrafo § 1º situa que: no caso de transferência de propriedade, o prazo para o proprietário adotar as providências necessárias à efetivação da expedição do novo certificado de registro de veículo é de trinta dias, sendo que nos demais casos as providências deverão ser imediatas.todavia, sabendo que o não cumprimento da obrigação da devida transferência sofrerá as penalidades impostas pelo art. 233 do ctb: deixar de efetuar o registro de veículo no prazo de trinta dias, junto ao órgão executivo de trânsito, ocorridas as hipóteses previstas no art. 123: infração - grave; penalidade - multa; medida administrativa - retenção do veículo para regularização.portanto nobre analista, quando no processo existir veículo em que na transação da venda houver o descumprimento do comprador que não fez a devida transferência no prazo legal, não é admissível que o antigo proprietário receba em sua residência uma carta de cobrança indevida causando-lhe de imediatamente um transtorno imerecido sem que tenha culpa e inclusive tornando mais uma vez vítima do comprador.a cobrança de valores quando indevidos constitui uma mácula dentro do mercado de consumo, ameaçando a integridade e a segurança das relações massificadas (e de seus participantes), sendo capaz de, em última análise, comprometer o ideal funcionamento da finalidade social do seguro dpvat. a prática abusiva e ilícita gera danos de diferentes espécies e em diferentes níveis: a) o primeiro e mais facilmente 3 - susep :: cgeti 8 reclamação quinta-feira, 19 de outubro de 2017 15:07 perceptível, é o dano patrimonial suportado pelo sujeito que efetivamente desembolsa os valores indevidamente cobrados; b) em segundo lugar, o dano moral consubstanciado no constrangimento ilegal daquele que, sem haver consumido alguma indenização ou, ainda, tendo sido destinatário de serviço viciado é alvo da cobrança ilegal; c) em terceiro lugar, constitui um dano na medida em que o fornecedor infrator aufere valores que não lhe são legitimamente devidos, causando dano coletivo quando por sua vez o seguro dpvat se define como garantia social;d) por fim, pode-se citar o dano difuso causado ao funcionamento do próprio mercado amplamente considerado (ou seja, em última instância, à própria sociedade), na forma de uma “crise de confiança” incutida nos destinatários/ consumidores, provocada pela desatenção às suas legítimas expectativas;é neste sentido que atentamos e buscamos esclarecer que deverá a seguradora respeitar tanto a vítima como também a quem ela chama de proprietário, esclarecendo assim com esta denuncia à susep que a seguradora respeite o princípio do devido processo legal que é uma das garantias constitucionais mais celebradas, pois dele decorrem todos os outros princípios e garantias constitucionais. ele é a base legal para aplicação de todos os demais princípios, independente do ramo do direito processual, inclusive no âmbito do direito material ou administrativo. da vítima sem qualquer responsabilidade civil pelo inadimplemento do prêmio do seguro dpvat:não será admitido de hipótese alguma que à vítima tenha seu direito prejudicado pelo inadimplemento da responsabilidade civil de terceiros e ter que no processo administrativo promover para seguradora como obrigação o endereço atualizado do proprietário que em maioria das vezes nem a vítima sabe onde o mesmo reside.fazer prova de responsabilidade de terceiros como condição impedimento dos seus direitos adquiridos, é uma forma de submeter alguém à vontade de outrem pela imposição da má fé por parte da seguradora líder dos consórcios do seguro dpvat, violando o princípio constitucional e inclusive o artigo 5º, ii “ ninguém será obrigado a fazer ou deixar de fazer coisa senão em virtude da lei”. um absurdo.partindo dessa análise, é inquestionável que a seguradora líder tem o controle do dut (documento único de transferência) da frota nacional, deverá ela mesma, na ação própria informar a quem tem o dever jurisdicional, o dano causado pelo inadimplemento do proprietário e o seu endereço atualizado para a citação válida do processo, e assim o proprietário ou não, ter o direito de ampla defesa e contraditório para demostrar de fato a responsabilidade pelo dono.portanto, não é dever da vítima fazer prova da responsabilidade civil do proprietário, assim, incumbe à seguradora/autora na pretensão da ação judicial, fornecer os elementos mínimos de identificação do “réu/proprietário”, de maneira a possibilitar sua regular citação para contestar o feito, sendo indispensável à indicação do endereço onde possa ser encontrado, caso não promova os elementos da norma da petição inicial, indicará no processo judicial pena de indeferimento da petição inicial com base no art. 282, ii, do cpc: “art. 282. a petição inicial indicará: inciso ii: os nomes, prenomes, estado civil, profissão, domicílio e residência do autor e do réu”, sendo estas informações de responsabilidade da parte autora, principalmente se tratando da seguradora líder dos consórcios do seguro dpvat que tem o órgão detran como principal fonte de arrecadação do premio do seguro dpvat e que se sobressai pela superioridade no controle da crlv (certificado de registro e licenciamento de veículos) e dut de todos os veículos do país. (grifo nosso)outrossim, é evidente que o processo administrativo está com o prazo regulamentar de 30 (trinta) dias para liquidação interrompido pela exigência abusiva, contrariando a circular susep nº. 302, de 19 de setembro de 2005, fls. 18 que estabelece o procedimento da liquidação de sinistros:“art. 72. deverão ser informados os procedimentos para liquidação de sinistros, com especificação dos documentos básicos previstos a serem apresentados para cada tipo de cobertura, facultando-se às sociedades seguradoras, no caso de dúvida fundada e justificável, a solicitação de outros documentos.”em momento algum a seguradora justificou a exigência da declaração do proprietário como condição essencial para a regularização e liquidação da indenização devida. tornando assim, um prejuízo ao beneficiário, que já não bastava ser vítima de acidente de transito, é também vítima da falta de credibilidade junto à seguradora líder quanto à 4 - susep :: cgeti 8 reclamação quinta-feira, 19 de outubro de 2017 15:07 interpretação errônea entre vítima sem reponsabilidade civil configurando somente como vítima no acidente e proprietário com responsabilidade civil, logo o parágrafo 3º da mesma circular acima mencionada estabelece:“§ 3º deverá ser estabelecido que o não pagamento da indenização no prazo previsto no § 1o e no § 2º deste artigo, implicará na aplicação de juros de mora a partir desta data, sem prejuízo de sua atualização, nos termos da legislação específica”.e ainda, por mais que o artigo 7º, § 2º, da lei que criou o seguro dpvat, determine que o conselho nacional de seguros privados (cnsp) estabelecerá normas para atender ao pagamento das indenizações previstas neste artigo, bem como a forma de sua distribuição pelas seguradoras participantes do consórcio, jamais, de hipótese alguma poderá ferir a lei garantidora do direito estabelecido pela lei ordinária, imposição e condições de redução do direito já adquirido.do direito e da pretensão resistida no âmbito administrativo: havendo uma pretensão, deve ela ser resistida, ou seja, a parte contrária deve, necessariamente, oferecer algum tipo de resistência ou insatisfação quanto à sua consecução, até mesmo porque, segundo carnelutti:lide é o conflito de interesses qualificado por uma pretensão resistida ou insatisfeita”. é uma questão judicial em que as partes buscam mostrar e provar a verdade ou razão de seu direito (ou seja, já existe litígio).desta forma, para que haja a instauração de uma lide esta deve ter sofrido o efeito da resistência (nexo de causalidade) efetiva pela parte contrária, e esta pode ser uma oposição que se manifesta de forma ativa ou passiva. será ativa quando a seguradora líder manifestar sua oposição ao direito do beneficiário, negando-se ao cumprimento dos atos necessários que impliquem no reconhecimento de tal direito, ou ainda oferecendo alguma forma de resistência dotada de exigência documental abusiva (declaração do proprietário), cujo resultado seja parcial ou pleno em face do direito do requerente (detentor de direito próprio no seu exercício).para tanto, a natureza do seguro obrigatório. de fato, é como ensina elcir castello branco: “o seguro obrigatório é uma garantia de que o governo exige para proteger as vítimas, em razão do número crescente de eventos danosos”, cf. “seguro obrigatório de responsabilidade civil”, leud. 1976, p. 4. é neste sentido que exigimos resposta da reclamada com precisão quanto à arbitrariedade considerando a situação de vulnerabilidade do beneficiário que na sua presunção legal a fragilidade frente ao poderio econômico da seguradora e ao fato de esta gozar de melhores condições técnicas e jurídicas. esta situação de fragilidade torna o beneficiário mais suscetível a ser iludido, enganado ou ludibriado pela seguradora líder dos consórcios do seguro dpvat. para o recebimento da indenização por invalidez permanente prevista no seguro dpvat o beneficiário deverá apresentar documentos capazes de demonstrar o fato, o dano dele resultante e sua qualidade de beneficiário, sendo assim desnecessário que a seguradora crie meios que impossibilitem ou dificulte o acesso ao direito ora pleiteado. neste sentido, dispõe a lei 6.194/74: art. 5º o pagamento da indenização será efetuado mediante simples prova do acidente e do dano decorrente, independentemente da existência de culpa, haja ou não resseguro, abolida qualquer franquia de responsabilidade do segurado.§ 7o os valores correspondentes às indenizações, na hipótese de não cumprimento do prazo para o pagamento da respectiva obrigação pecuniária, sujeitam-se à correção monetária segundo índice oficial regularmente estabelecido e juros moratórios com base em critérios fixados na regulamentação específica de seguro privado. (incluído pela lei nº 11.482, de 2007) dos pedidos: inegável, no caso do relatado, que a seguradora líder deixou de prestar o serviço a que se destina e, na forma preconizada pelo código de defesa do consumidor, decorre sua obrigação de reparar os danos experimentados pelo beneficiário que deixou de receber a quantia devida na forma da legislação aplicável à espécie.resta claro que faz jus o valor estipulado por lei em decorrência de incapacidade funcional permanente, devidamente atualizada até o efetivo pronunciamento por parte da seguradora e acrescido de juros moratórios.requer com urgência da seguradora líder dos consórcios do seguro dpvat os pedidos abaixo:1. conclusão do processo sem a exigência abusiva da declaração do proprietário do veículo;2.perícia médica revisional em consultório;3.correção com juros dos valores indenizados da data da negativa até a data do 5 - susep :: cgeti 8 reclamação quinta-feira, 19 de outubro de 2017 15:07 pagamento;4. carta discriminativa dos valores pagos e percentuais indenizados, informando o procedimento de avaliação médica no pagamento. diante mão, o inadimplemento da obrigação de pagar a indenização ora reclamada e comprovada por laudo médico em anexo, no prazo regulamentar por lei, fica automaticamente sabido que o pleiteio da indenização será reclamado em juízo com pedido de correção de juros pela arbitrariedade na falha da prestação de serviçonestes termos,pede e espera deferimento.valente/ba, 26 de setembro de 2017edenilson pinho de oliveiraprocurador sim o sac da empresa foi acionado? </t>
  </si>
  <si>
    <t>Art. 8 da Res. CNSP nº 332/15, c/c Art. 88 Decreto-lei 73/1966, com redação dada pela Lei Complementar 126/2007</t>
  </si>
  <si>
    <t xml:space="preserve"> assunto: seguro (inclusive vgbl)/dpvat/invalidez/exigências abusivas 1 - susep :: cgeti 8 reclamação sexta-feira, 20 de outubro de 2017 12:57 descrição dos fatos: à susep – superitendência de seguros privadosreferente ao processo de sinistro dpvat: 3160604500julio dos santos, já qualificado no processo acima em epígrafe, vem, respeitosamente, por intermédio de seu representante e bastante procurador edenilson pinho de oliveira, residente e domiciliado a rua da independência, nº. 300, bairro dionísio mota, cep 48.890-000, valente/ba (procuração em anexo) com fulcro no artigo 3º da lei 6.194/74 e demais disposições aplicáveis à matéria propor a presente.investigação e proibição da arbitrariedade da seuradora líder dos consórcios do seguro dpvat, pela exigência abusiva que determina impedimento da liquidação e conclusão do processo, por falta de declaração do proprietário do veículo em que a vítima foi envolvida sem qualquer responsabilidade civil, pelo inadiplemento da obrigação do proprietário de pagar o premio do seguro dpvat referente ao exercicio da vigência em que ocorreu o sinistro.em face da seguradora líder do consórcio do seguro dpvat s.a., pessoa jurídica de direito privado, inscrita no cnpj sob o n.º 09.248.608/0001-04, com sede na rua senador dantas, n.° 74, 5° andar, centro, rio de janeiro/rj.dos fatos:do cotejo da documentação que ora coleciona o processo em epígrafe, no dia 11/06/2016 o beneficiário foi vítima de acidente automobilístico sofrendo diversas lesões de natureza grave (laudo médico de verificação de incapacidade funcional em anexo ao processo)no dia 04 de outubro de 2016 a companhia de seguros aliança da bahia, proponente da seguradora líder informou que para a conclusão do processo a vítima ou seu representante legal deverá apresentar declaração do proprietário do veículo, conforme se encontra no site oficial da seguradora líder http://www.dpvatsegurodotransito.com.br/ o formulário de declaração do proprietário do veículo com as seguintes informações:fundamentação jurídica:é inegável que no caso relatado que a seguradora pendenciou o processo alegando que a declaração em questão é indispensável para a conclusão da regulação e pagamento do processo, o pedido abusivo deixa bem claro que a seguradora pretende obter informações atualizadas do proprietário do veículo que deixou de pagar o premio do seguro dpvat no ano do exercício do acidente em que a vítima foi envolvida.contudo, sabemos que a lei nº. 6.194/74, no artigo 8º, estabelece que a sociedade seguradora poderá, haver do responsável o reembolso do valor indenizado a terceiros pelo inadimplemento da obrigação do pagamento do bilhete do seguro dpvat, correspondente ao ano do exercício do sinistro, assim estabelece o artigo abaixo: “art. 8º comprovado o pagamento, a sociedade seguradora que houver pago a indenização poderá, mediante ação própria, haver do responsável a importância efetivamente indenizado.”porém, o artigo 7º, da mesma lei estabelece que será paga a indenização devida, nos mesmos valores, condições e prazos, às vítimas de acidente de transito. o legislador não condicionou a obrigação de apresentar “declaração do proprietário do veículo” quando se tratar de vítima que não tem responsabilidade civil sob o veículo sinistrado no acidente, e que este documento exigido arbitrariamente fosse juntamente com todos os documentos essenciais para a liquidação do processo como requisito de obtenção do seu direito.assim, o legislador não garantiria ao beneficiário o direito da indenização mesmo com o seguro não realizado ou vencido, como situa o artigo abaixo:“art. 7o a indenização por pessoa vitimada por veículo não identificado, com seguradora não identificada, seguro não realizado ou vencido, será pago nos mesmos valores, condições e prazos dos demais casos por um consórcio constituído, obrigatoriamente, por todas as sociedades seguradoras que operem no seguro objeto desta lei.”todavia, a pretensão da seguradora em ludibriar o beneficiário solicitando a declaração do proprietário do veículo sinistrado é para obtenção de informações atualizadas para uma futura demanda judicial em face do proprietário do veículo pelo inadimplemento da obrigação que tornou o ato danoso à seguradora.da prova (carta cobrança de devolução de indenização) que define a exigência da declaração de proprietário e o fim a que se destina:esta analise e afirmação de que a declaração de proprietário de veículo exigida pela seguradora se deu exclusivamente para 2 - susep :: cgeti 8 reclamação sexta-feira, 20 de outubro de 2017 12:57 que a mesma possa adquirir informações atualizadas dos dados pessoais do proprietário de veiculo, isso se concretizou pela comprovação através de carta cobrança já efetuada em outros processos dpvat na esfera administrativa, tendo como principal demandante a seguradora líder dos consórcios do seguro dpvat, cobrança esta via carta correios endereçada ao “suposto proprietário” o pedido de devolução dos valores indenizados à vítima envolvida no acidente.abaixo demostramos o modelo da carta cobrança da seguradora líder com todo conteúdo na integra:seguradora líder – dpvat_______________________________________________________________________rio de janeiro, 29 de janeiro de 2015.carta devolução dpvat nº. 00001390503ressarcimento 1º avisosenhor (a) orlando marques carneirocpf nº: 108.935.555-68identificamos, em nossos sistemas, que o veículo de sua propriedade envolveu-se em um acidente de trânsito com vítima(s) indenizada(s) pelo seguro dpvat, conforme dados abaixo:placa do veículo: nyr – 0140chassi: 9c2kd0550br546501data do acidente: 30/10/2012local do acidente: queimadasuf: banº do boletim de ocorrência: 2013vítima (s): domingas silva medradocom base em dados sistêmicos, identificou-se que, na época do acidente, o seguro dpvat do veículo de sua propriedade não estava pago.a lei que regulamenta o dpvat (lei 6.194/1974) determina que o proprietário do veículo que não estava em dia com o pagamento do seguro dpvat, na data do acidente, devolva/reembolse o(s) valor(es) que foi(ram) desembolsado(s) para pagamento da(s) indenização(ões).sendo assim, solicitamos entrar em contato conosco por meio do nº 0800- 7013427, para efetuar a devolução da(s) indenização (oes) paga(s) nos moldes da legislação em vigor.caso o pagamento do seguro dpvat tenha sido efetuado ainda no ano do acidente, pedimos que seja encaminhada cópia do comprovante de pagamento dp dpvat para baixa em nossos sistemas. o encaminhamento poderá ser efetuado por correio eletrônico no endereço ressarcimento@megadata.com.br ou através do fax nº (21) 2224-0893. após o envio da comprovação do pagamento do seguro dpvat, a solicitação de ressarcimento será desconsiderada.atenciosamente, seguradora líder dpvatcomo desvela a carta cobrança, deverá à seguradora compreender que existem números crescentes de pessoas que adquirem veículos com a venda devidamente formalizada com dut (documento único de transferência) datado e assinado pelo vendedor e comprador com firmas reconhecidas por autenticidade, mas estes que se comprometem após a compra em realizar a transferência dentro do prazo legal de 30 (trinta) dias, na maioria das vezes os compradores não cumprem com suas obrigações, inclusive pela própria brecha da lei do ctb (código de transito brasileiro) - nº 9.503/1997, art. 123. que estabelece: “será obrigatória à expedição de novo certificado de registro de veículo quando”, inciso i: “for transferida a propriedade”, e ainda o paragrafo § 1º situa que: no caso de transferência de propriedade, o prazo para o proprietário adotar as providências necessárias à efetivação da expedição do novo certificado de registro de veículo é de trinta dias, sendo que nos demais casos as providências deverão ser imediatas.todavia, sabendo que o não cumprimento da obrigação da devida transferência sofrerá as penalidades impostas pelo art. 233 do ctb: deixar de efetuar o registro de veículo no prazo de trinta dias, junto ao órgão executivo de trânsito, ocorridas as hipóteses previstas no art. 123: infração - grave; penalidade - multa; medida administrativa - retenção do veículo para regularização.portanto nobre analista, quando no processo existir veículo em que na transação da venda houver o descumprimento do comprador que não fez a devida transferência no prazo legal, não é admissível que o antigo proprietário receba em sua residência uma carta de cobrança indevida causando-lhe de imediatamente um transtorno imerecido sem que tenha culpa e inclusive tornando mais uma vez vítima do comprador.a cobrança de valores quando indevidos constitui uma mácula dentro do mercado de consumo, ameaçando a integridade e a segurança das relações massificadas (e de seus participantes), sendo capaz de, em última análise, comprometer o ideal funcionamento da finalidade social do seguro dpvat. a prática abusiva e ilícita gera danos de diferentes espécies e em diferentes níveis: a) o primeiro e mais facilmente 3 - susep :: cgeti 8 reclamação sexta-feira, 20 de outubro de 2017 12:57 perceptível, é o dano patrimonial suportado pelo sujeito que efetivamente desembolsa os valores indevidamente cobrados; b) em segundo lugar, o dano moral consubstanciado no constrangimento ilegal daquele que, sem haver consumido alguma indenização ou, ainda, tendo sido destinatário de serviço viciado é alvo da cobrança ilegal; c) em terceiro lugar, constitui um dano na medida em que o fornecedor infrator aufere valores que não lhe são legitimamente devidos, causando dano coletivo quando por sua vez o seguro dpvat se define como garantia social;d) por fim, pode-se citar o dano difuso causado ao funcionamento do próprio mercado amplamente considerado (ou seja, em última instância, à própria sociedade), na forma de uma “crise de confiança” incutida nos destinatários/ consumidores, provocada pela desatenção às suas legítimas expectativas;é neste sentido que atentamos e buscamos esclarecer que deverá a seguradora respeitar tanto a vítima como também a quem ela chama de proprietário, esclarecendo assim com esta denuncia à susep que a seguradora respeite o princípio do devido processo legal que é uma das garantias constitucionais mais celebradas, pois dele decorrem todos os outros princípios e garantias constitucionais. ele é a base legal para aplicação de todos os demais princípios, independente do ramo do direito processual, inclusive no âmbito do direito material ou administrativo. da vítima sem qualquer responsabilidade civil pelo inadimplemento do prêmio do seguro dpvat:não será admitido de hipótese alguma que à vítima tenha seu direito prejudicado pelo inadimplemento da responsabilidade civil de terceiros e ter que no processo administrativo promover para seguradora como obrigação o endereço atualizado do proprietário que em maioria das vezes nem a vítima sabe onde o mesmo reside.fazer prova de responsabilidade de terceiros como condição impedimento dos seus direitos adquiridos, é uma forma de submeter alguém à vontade de outrem pela imposição da má fé por parte da seguradora líder dos consórcios do seguro dpvat, violando o princípio constitucional e inclusive o artigo 5º, ii “ ninguém será obrigado a fazer ou deixar de fazer coisa senão em virtude da lei”. um absurdo.partindo dessa análise, é inquestionável que a seguradora líder tem o controle do dut (documento único de transferência) da frota nacional, deverá ela mesma, na ação própria informar a quem tem o dever jurisdicional, o dano causado pelo inadimplemento do proprietário e o seu endereço atualizado para a citação válida do processo, e assim o proprietário ou não, ter o direito de ampla defesa e contraditório para demostrar de fato a responsabilidade pelo dono.portanto, não é dever da vítima fazer prova da responsabilidade civil do proprietário, assim, incumbe à seguradora/autora na pretensão da ação judicial, fornecer os elementos mínimos de identificação do “réu/proprietário”, de maneira a possibilitar sua regular citação para contestar o feito, sendo indispensável à indicação do endereço onde possa ser encontrado, caso não promova os elementos da norma da petição inicial, indicará no processo judicial pena de indeferimento da petição inicial com base no art. 282, ii, do cpc: “art. 282. a petição inicial indicará: inciso ii: os nomes, prenomes, estado civil, profissão, domicílio e residência do autor e do réu”, sendo estas informações de responsabilidade da parte autora, principalmente se tratando da seguradora líder dos consórcios do seguro dpvat que tem o órgão detran como principal fonte de arrecadação do premio do seguro dpvat e que se sobressai pela superioridade no controle da crlv (certificado de registro e licenciamento de veículos) e dut de todos os veículos do país. (grifo nosso)outrossim, é evidente que o processo administrativo está com o prazo regulamentar de 30 (trinta) dias para liquidação interrompido pela exigência abusiva, contrariando a circular susep nº. 302, de 19 de setembro de 2005, fls. 18 que estabelece o procedimento da liquidação de sinistros:“art. 72. deverão ser informados os procedimentos para liquidação de sinistros, com especificação dos documentos básicos previstos a serem apresentados para cada tipo de cobertura, facultando-se às sociedades seguradoras, no caso de dúvida fundada e justificável, a solicitação de outros documentos.”em momento algum a seguradora justificou a exigência da declaração do proprietário como condição essencial para a regularização e liquidação da indenização devida. tornando assim, um prejuízo ao beneficiário, que já não bastava ser vítima de acidente de transito, é também vítima da falta de credibilidade junto à seguradora líder quanto à 4 - susep :: cgeti 8 reclamação sexta-feira, 20 de outubro de 2017 12:57 interpretação errônea entre vítima sem reponsabilidade civil configurando somente como vítima no acidente e proprietário com responsabilidade civil, logo o parágrafo 3º da mesma circular acima mencionada estabelece:“§ 3º deverá ser estabelecido que o não pagamento da indenização no prazo previsto no § 1o e no § 2º deste artigo, implicará na aplicação de juros de mora a partir desta data, sem prejuízo de sua atualização, nos termos da legislação específica”.e ainda, por mais que o artigo 7º, § 2º, da lei que criou o seguro dpvat, determine que o conselho nacional de seguros privados (cnsp) estabelecerá normas para atender ao pagamento das indenizações previstas neste artigo, bem como a forma de sua distribuição pelas seguradoras participantes do consórcio, jamais, de hipótese alguma poderá ferir a lei garantidora do direito estabelecido pela lei ordinária, imposição e condições de redução do direito já adquirido.do direito e da pretensão resistida no âmbito administrativo: havendo uma pretensão, deve ela ser resistida, ou seja, a parte contrária deve, necessariamente, oferecer algum tipo de resistência ou insatisfação quanto à sua consecução, até mesmo porque, segundo carnelutti:lide é o conflito de interesses qualificado por uma pretensão resistida ou insatisfeita”. é uma questão judicial em que as partes buscam mostrar e provar a verdade ou razão de seu direito (ou seja, já existe litígio).desta forma, para que haja a instauração de uma lide esta deve ter sofrido o efeito da resistência (nexo de causalidade) efetiva pela parte contrária, e esta pode ser uma oposição que se manifesta de forma ativa ou passiva. será ativa quando a seguradora líder manifestar sua oposição ao direito do beneficiário, negando-se ao cumprimento dos atos necessários que impliquem no reconhecimento de tal direito, ou ainda oferecendo alguma forma de resistência dotada de exigência documental abusiva (declaração do proprietário), cujo resultado seja parcial ou pleno em face do direito do requerente (detentor de direito próprio no seu exercício).para tanto, a natureza do seguro obrigatório. de fato, é como ensina elcir castello branco: “o seguro obrigatório é uma garantia de que o governo exige para proteger as vítimas, em razão do número crescente de eventos danosos”, cf. “seguro obrigatório de responsabilidade civil”, leud. 1976, p. 4. é neste sentido que exigimos resposta da reclamada com precisão quanto à arbitrariedade considerando a situação de vulnerabilidade do beneficiário que na sua presunção legal a fragilidade frente ao poderio econômico da seguradora e ao fato de esta gozar de melhores condições técnicas e jurídicas. esta situação de fragilidade torna o beneficiário mais suscetível a ser iludido, enganado ou ludibriado pela seguradora líder dos consórcios do seguro dpvat. para o recebimento da indenização por invalidez permanente prevista no seguro dpvat o beneficiário deverá apresentar documentos capazes de demonstrar o fato, o dano dele resultante e sua qualidade de beneficiário, sendo assim desnecessário que a seguradora crie meios que impossibilitem ou dificulte o acesso ao direito ora pleiteado. neste sentido, dispõe a lei 6.194/74: art. 5º o pagamento da indenização será efetuado mediante simples prova do acidente e do dano decorrente, independentemente da existência de culpa, haja ou não resseguro, abolida qualquer franquia de responsabilidade do segurado.§ 7o os valores correspondentes às indenizações, na hipótese de não cumprimento do prazo para o pagamento da respectiva obrigação pecuniária, sujeitam-se à correção monetária segundo índice oficial regularmente estabelecido e juros moratórios com base em critérios fixados na regulamentação específica de seguro privado. (incluído pela lei nº 11.482, de 2007) dos pedidos: inegável, no caso do relatado, que a seguradora líder deixou de prestar o serviço a que se destina e, na forma preconizada pelo código de defesa do consumidor, decorre sua obrigação de reparar os danos experimentados pelo beneficiário que deixou de receber a quantia devida na forma da legislação aplicável à espécie.resta claro que faz jus o valor estipulado por lei em decorrência de incapacidade funcional permanente, devidamente atualizada até o efetivo pronunciamento por parte da seguradora e acrescido de juros moratórios.requer com urgência da seguradora líder dos consórcios do seguro dpvat os pedidos abaixo:1. conclusão do processo sem a exigência abusiva da declaração do proprietário do veículo;2.perícia médica revisional em consultório;3.correção com juros dos valores indenizados da data da negativa até a data do 5 - susep :: cgeti 8 reclamação sexta-feira, 20 de outubro de 2017 12:57 pagamento;4. carta discriminativa dos valores pagos e percentuais indenizados, informando o procedimento de avaliação médica no pagamento. diante mão, o inadimplemento da obrigação de pagar a indenização ora reclamada e comprovada por laudo médico em anexo, no prazo regulamentar por lei, fica automaticamente sabido que o pleiteio da indenização será reclamado em juízo com pedido de correção de juros pela arbitrariedade na falha da prestação de serviçonestes termos,pede e espera deferimento.valente/ba, 22 de setembro de 2017edenilson pinho de oliveiraprocurador sim o sac da empresa foi acionado? </t>
  </si>
  <si>
    <t>Descumprir os compromissos resultantes dos contratos comercializados</t>
  </si>
  <si>
    <t xml:space="preserve"> celular: (33)99146-6406 bairro: becã cidade: minas novas assunto: seguro (inclusive vg bl)/autom óve!/divergência de valor de indenização descrição dos fatos: o reclam ante teve sinistro em seu veículo e levou para oficina autorizada do fabricante chevrolet. a seguradora não quer arcar com os danos do conserto do veículo e alega que o segurado deverá pagar complem entação de m ão-de-obra do conserto. o segurado entende tal cobrança abusiva pois já participa dos riscos por meio da franquia e a seguradora está atrasando o reparo do veículo em não autorizaram o conserto. o sac da empresa sim foi acionado? docum entos tipo aviso de sinistro número 00522015254410s00 1 - 4 susep cgeti e-maii enviado para ouvidoria@bbmapfre.com.br alexandregc 30/11/2015 13:56:18 reclamação terça-feira, 5 de julho de 2016 15:17 4 susep sswwwtbbdène* _____  ¦ ¦ : texto: senhor (a) ouvidor (a), considerando os termos da resoiução cnsp n.° 279, de 30 de janeiro de 2013, requeremos anaiisar o pleito, abaixo, e responder diretamente ao interessado, no prazo de 15 (quinze) dias, contados a partir da data de recebimento desta comunicação. soiicitamos, ainda, que, no caso de insatisfação do reciamaníe com a resposta dessa ouvidoria, seja indicada a possibilidade de formalização de denúncia à susep. j para acessar os dados da sua reclamação, clique aqui atenciosamente, superintendência de seguros privados - susep ao retornar à susep, informe o número do seu atendimento i j 2 - 4 susep :: cgeti reclamação terça-feira, 5 de iuího de 2016 15:17 ç ~ alexandregc 30/11/2015 13:56:18 e-mai! enviado para bernardo.silva@tjmg.jus.br texto: prezado(a) senhor(a),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pessoâlmente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necessarios-para-a-instauracao-de-processo-administrativo/reiacao-de- documentos-necessarios-para-a-instauracao-de-processo-administrativo esclarecemos, por oportuno, que, no âmbito de competência desta autarquia, poderão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20071-900 são paulo rua formosa, 367 - 26° andar - edificio cbi são paulo - sp - cep: 01049-000 distrito federal setor bancário sul, quadra 1 - b l .k - 13° andar - ed. seguradora brasília - df - cep: 70093-900 rio grande do sul rua coronei genuíno, 421 -11° andar centro histórico - porto alegre - rs - cep 90010-350 minas gerais rua piauí, 220 - 3o andar - santa efigênia belo horizonte - mg - cep: 30150-320 ao entrar em contato com a susep informe o número do seu atendimento. para acessar os dados da sua reclamação, clique aqui 3 - 4 susep :: cgeti 4 susep 8 s tl* * te s ífc « i* _______ás ww&amp;a* recíarnação terça-feira, 5 de julho de 2016 15:17 atenciosamente, superintendência de seguros privados - süsep ao retornar à susep, informe o número do seu atendimento a reclamação será transmitida à ouvidoria da empresa reclamada, para que sejam prestados os deyidos esclarecimentos ou apresentada a solução para o questionamento formulado. caso não haja atendimento satisfatório no prazo de 15 (quinze) dias, a contar da data de encaminhamento da reclamação, o reclamante poderá requerer a abertura de processo administrativo, pessoaimente ou por carta, munido de cópia dos documentos comprobaiórios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civii brasileiro susep, em 05/07/2016 reclamante / representante: atendenie: matrícula siape: 4 - 4 susep cgeti s u s e p superintendência de seguros privados à susep - superintendência de seguros privados rio de janeiro - rj. requerimento administrativo prezados senhores: representante representado por seu sérgio luiiz da silva me, cnpj: 03.733.038/0001-61, com sede à praça sebastião leme do prado, 121 -b, centro, minas novas/mg, cep: 39650-000, neste legal, sérgio luiz da silva, cpf: ato 322.361.586-53, vêm através desta expor, e ao final, requerer: 1. possui seguro junto ao banco do brasil/mapfre, sob o numero de apólice 3897426823131, com vigência até 16/10/2016, do veículo s10 branca, placa 00x8663, ano mod.2013. 2. em 09/11/2015, sofreu acidente automobilístico com o veículo supracitado, conforme b.o. n.m0717-2015-0002872, em anexo, onde foi acionado o seguro. 3. após inúmeras ligações telefônicas, emails e conversas via chat (doc. anexo) o requerente tentou a realização do serviço do seu veículo, bem como dos terceiros envolvidos no acidente. 4. por mais de dois meses, com muita insistência, o requerente conseguiu a liberação do serviço e pagamento dos danos causados aos terceiros; 5. entretanto, para sua surpresa, foi informado pela seguradora que o valor de reparo do seu veículo (mão de obra) ficou acima do que avaliou o perito da seguradora, tendo o segurado que arcar, além da franquia, fixada em r$4.078,00, deveria pagar r$1.149,16 do valor divergente da mão de obra entre a seguradora e a oficina, inclusive declarando tal fato através de email, sob pena de não liberação do serviço, isso com a ameaça via emails e ligações telefônicas de que só realizaria o procedimento com o pagamento da diferença; 6. o veículo do segurado ficou mais de 60 dias somente para liberar (dar início) o serviço, por conta deste imbróglio. como foi informado pela própria concessionária que o veículo estava na garantia, não poderia realizar o reparo em outra oficina, conforme informado pela própria oficina. 7. o requerente trabalha com o veículo, logo, depende deste para executar os serviços, deixando, inclusive, de trabalhar ou atender clientes por falta de veículo. teve que arcar por conta própria vários fretes e táxi para realizar seu serviço. só nestes gastos com deslocamento, pagou cerca de r$1.800,00 pelos fretes. 8. solicitou, ainda, no mesmo instante em que foi acionado o seguro, o carro reserva a que tinha direito, tendo a seguradora liberado um veículo, simples, somente 60 dias após o acionamento do seguro. este, após longa demora, foi disponibilizado por somente dez dias, tendo em vista a demora na liberação. este segurado teria direito ao carro reserva por 30 dias. 9. ficou, ainda, mais de 04 (quatro) meses para liberar o conserto do veículo, tempo muito acima do informado no início do acionamento do seguro. 10. constou no bo um quarto envolvido no acidente que danificou a parte traseira do veículo segurado, conforme descrito no ato do sinistro e foto em anexo. porém, alega a seguradora que não ficou descrito sucintamente no b.o. as condições da batida. por este motivo, não quis a seguradora arcar com o conserto da parte traseira do veículo. o segurado teve que trocar a lanterna traseira, no valor de r$850,00, por conta própria, tendo em vista que, como é sabido, a lei proíbe o trânsito de veículos com lanternas danificadas. para o conserto das pequenas avarias na parte traseira, ficou orçado em r$450,00. 11. na batida, o pneu dianteiro, lado direito, na ocasião da batida, foi cortado, tendo o segurado solicitado também a troca do mesmo. mais uma vez, houve inércia da seguradora. para minha surpresa, a empresa não trocou o pneu. e pior, nem sequer avisou o segurado sobre tal fato. o segurado, ao receber o veículo, teve a ingrata surpresa de ver seu estepe no lugar do pneu supramencionado. ao reclamar com a autorizada, foi informado que a seguradora não autorizou a troca do pneu, mesmo este estando rasgado. este teve que viajar por cerca de 300km sem pneu estepe, tendo em vista que este estava no local do pneu rasgado. ao chegar no meu endereço, tive que arcar com um pneu novo, no valor de r$1.300,00, referente ao pneu, ao alinhamento e realizou balanceamento. alinhamento e balanceamento do veículo, mesmo após inúmeros serviços realizados. 12. requer, por fim, a devolução dos valores pagos a maior, por conta da divergência entre seguradora e oficina, bem como dos valores gastos com fretes/viagens realizado por conta própria por falta do veiei isto porque, com o acidente, a seguradora sequer o mínimo, em r$5.549,16. minas novas, 13/05/2016 à susep - superintendência de seguros privados rio de janeiro - rj. declaração prezados senhores: sérgio luiiz da silva me, cnpj: 03.733.038/0001-61, com sede à praça sebastião leme do prado, 121 -b, centro, minas novas/mg, cep: 39650-000, neste ato representado por seu representante legal, sérgio luiz da silva, cpf: 322.361.586-53, declara para os devidos fins que até a presente data a seguradora banco do brasil/mapfre não forneceu resposta nem no prazo determinado pela susep, referente a reclamação n. 2153174/2015, nem mesmo até a presente data. minas novas, 13/05/2016 c c bb seguro auto nome do segurado sérgio ldas.-cpf3.- n da apólice 3897426823131 modelo veículo me vigência da apólice 16/10/2016 s-10 lt (c.dup) 4x2 2.4 8v(flexpowe placa 00x8663 ano mod. 2013 cpf/cnpj 03.733.038/0001-61 e secretaria da micro e pequena empresa da presidência da república secretaria de racionalização e simplificação .departamento de registro empresarial e integração secretaria de estado de desenvolvimento econômico de minas gerais nire (da sede ou filial, quando a código da natureza n° de matricula do agente  jurídica auxiliar do comércio sede for em outra uf) 31107783148 1 - requerimento 2135 in * d o protocolo {uso da junta comercial) jucemg sede - belo horizonte ato: 212 - 08æt7/2014 1 5:57 iiiiiiim iim 1 4 / 4 8 5 . 8 9 9 - 1 ilmo(a). sr(a). presidente da junta comercial dojestado de minas gerais nome: sergio luiz da s ilva - cpf: 322.361.586-53 - me (da empresa ou do agente auxiliar do comércio} requer a v.s” o deferimento do seguinte ato: n° fcn/remp n” de código código vias do ato 002 rfb - alteracao 020 2244 1 1 alteracao de nome empresarial alteracao de atividades econômicas (principal e secundarias) __________________________ 3 !v ___________________________________________________________________ /o nome: _____ assinatura: telefone de contato: c i&amp;&gt; 3ct6m jlíl1&amp; 3 - sizbßdsl u n e -qq g tl n l minas novas local 14 julho 2014 data 2 - uso da junta comercial j | decisão singular notne(s) empresarial(als) igual(ais) ou sem elhante(s): ? sim ? sim [ i decisão colegiada processo em ordem à decisão data 5 a exigência i i não ! ! ______________ q não ___ j _ responsável data responsável data responsável decisão singular cesso em exigência. (vide despacho em folha anexa) processo deferido. publique-se e arquive-se. ? processo indeferido. publique-se. 2b exigência ? ã u ú t h j ^ f data ^ 2 b exigência 3° exigência 4* exigência 5 exigência decisão colegiada processo em exigência. (vide despacho em folha anexa) ? ? ? processo deferido. publique-se e arquive-se. processo indeferido. publíque-se. data vogal projocolo: 1 4 / 4 8 5 . 8 9 9 - 1 \ près ah134?553 ju nta comercial do estado de minas gerais c e r t if ic o o r e g is t r o s ô b o n r o . 5 3 4 7 3 0 6 e m 0 1 / 0 3 / 2 0 1 4 v \ tfs e r g ío lucz d a s il v a - c p f : 3 2 2 .3 6 1 .s86-f3 - m e # c ertifico que este docum ento da empresa serg io luiz da silva - cpf: 322.361.586-53 - me. nire: 3110778314-8 , foi deferido e arquivado na junta c om ercial do estado de m inas g erais, sob o n° 5347306 em 01/08/2014. para va lid ar este documento, acesse www.jucem g.m g.gov.br e informe: n° do protocolo 14/485.899-1 e o código de segurança ddcx. esta cópia foi autenticada digitalmente e assinada em 07/08/2014 por marinely de paula bomfim - secretária geral. pág. 1/3 secretaria da m icro &amp; p e q u e n a em presa da presidência da r epública secretaria de r a cio nalização e sim plificação departam ento de r egistro e m presarial e integração requerimento de empresário 1 / 1 número de identificação 0 0 registro de empresa - ni re da sede 3110778314-3 nire 0 a filial (preencher somente se ato referente a filial) nome do empresário (completo sem abreviaturas) sérgio luiz da silva nacionalidade brasileira sexo m is ? t regime de sens (se casado) com unhão parcial filho de (pai) vicente mario da silva nascido em (data dc nascimento) 08/04/1959 identidade (número) mg 1753584 emancipado por (forma da emancipação somente no caso de menor) domiciliado na (logradouro rua. av. etc.) avenida av israel pinheiro complemento município minas novas estado civil casado bairro i distrito saudade (m3e) i maria geralda da silva órgôo emissor i s s p uf i mg cpf (número) 322.361.586-53 numero 29 uf i m g cep 39650000 declara, sob as penas da lei, não estar impedido de exercer atividade empresária, que não possuí outro registro de empresário, e requer à junta comercial do estado de minas gerais: ato 002 evento oescrição do evento 0 2 0 descrição do ato alteracao alteracao de nome empresarial evento 2244 descrição do evento alteracao de atividades econômicas (principal e descrição do evento bairro / distrito c entro uf | mg país | brasil correio eletrônico (e-mail) silcont@ uai.com .br número 121 cep 39650000 c o m e r c io v a r e jis t a de a r tig o s de pa pelaria e c o m e r c io va rejista de m e r c a d o r ia s em geral com p r e d o m in n c ia de p r o d u t o s a lim en tíc io s - m in im e r c a d o s . m e r c ea r ia s e a r m azéns. nome empresarial sérgio luiz da silva - cpf: 322.361.586-53 - me logradouro (rua, av, etc.) praca sebastiao leme do prado complemento b município minas novas 4761003 4712100 valor do capital - r$ 6 .0 0 0 ,0 0 valor do capital (por extenso) seis mil reais c odigo de atividade econômica (cnae fiscal) descrição do objeto assinatur da firma pelo em p r e sa d o (ou peta representantg/assisto data da assr.natura ~ 02/07/2014 | assinatura q crsf/p^esário s l i p a r a u s o e x c l u s iv o d a j u n t a c o m e r c ia l autenticação deferido. publique-: ig f m data de inlcio das atividades 01/04/2000 numero de inscrição no cnpj 03.733.038/0001-61 transferência de sede o u de filial de outra uf nire anterior uf i uso da junta comercial dependente de 1----1 -j . oiã* i autorização governamental |___ | 2 - nao j 1 &amp; , - c - f f - 3 2 . ^ - . 3 6 1 . s 8 &amp; . s 3 - m £ ju n ta comercial do estado de minas gerais certtffrco o registro sob o nro: 5 3 4 7 3 0 6 em 0 1 / 0 8 / 2 0 1 4 &lt;35* ^ ssergtq luiz dasn_va - cpf: 322.361.536-63 - me« i protocolo: 1 4 / 4 8 5 . 8 9 9 - 1 ah1347554 modulo integrador: jm3121825230 u i i i i i i i i i i i i i í i i i i i l l ! ! ! l i i i mg703064j1 c ertifico que este docum ento da em presa sérgio luiz da silv a - cpf: 322.361.586-53 - me, nire: 311 0778314-8 , fo deferido e arquivado na junta com ercial do estado de m inas g erais, sob o n° 5347306 em 01/08/2014. para validar este documento, acesse www.jucem g.m g.gov.br e informe: n° do protocolo 14/485.899-1 e o código de segurança ddcx. esta cópia foi autenticada digitalmente e assinada em 07/08/2014 por marinely de paula bomfim — secretária geral. pág. 3/3 c ¦ tío õ ° ?° 3»“ • e a n e x o s „ ° o - ;«v* samc-i. 53 7  v 4 5 4 - 1 4 0 2 •w m « o a £ í ^ c _ _5?-;~tor _ ot.‘í -?ier*zra £ - ‘‘n ^ s nova* c ertifico que este docum ento da empresa sérgio luiz da silv a - cpf: 322.361.586-53 - me, nire: 3110778314-8 , foi deferido e arquivado na junta c om ercial do estado de m inas g erais, sob o n° 5347306 em 01/08/2014. para va lid ar este documento, acesse www.jucem g.m g.gov.br e informe: n° do protocolo 14/485.899-1 e o código de segurança ddcx. esta cópia foi autenticada digitalmente e assinada em 07/08/2014 por marinely de paula bomfim — secretária geral. pág. 2/3 v a ll da em todo o território nacional n s i f i ^ 1í a\tr0 m s - 1 .7 5 3 .5 8 a expedição ¦ e 0 /0 1 /1 9 9 9 nome sergio luiz da silva .f il ia ç ã o  f ¦ , vicente mario da silva maria geralda da silva naturalidade santana-sp doc origemcas « l v —2 7 f l —1 0 7 minas novas-mg cpf 3 2 2 3 6 1 5 8 6 r ^ 3 v y ^ t \ * . . data qe nascimento 8 / a / 1959 belo horizonte, mg _ _ _ p i i — 1 h 7 t bel. márcio barroso domingoes a 1 . . : , a s s in a t u r a do diretor çl . 2 . a lei n°7.116 d e 29/08/83 reclamação segunda-feira, 9 de maio de 201* 14:41 protocolo: 215 31 74 /2 01 5 reclamada: m a p f r e s e g u r o s g e r a is s.a. atendente: a l e x a n d r e g u im a r ã e s c a r v a lh o via: t e le fo n e data: 3 0 /1 1 /2 0 1 5 ?; s u s tp sufmnfttentfêftcm cte* ^ t w ü íi^ dados da reclamação dados do reclamante segurado: s é r g io luis d a s ilv a filh o cpf/cnpj: 069.797.296-83 uf: m in a s g e r a is irmão: bernardo vieira silva cpf/cnpj: 0 66 .72 9 .43 6-8 4 dados de contato e-mail: b erna rd o.silva @ tjm g .jus.b r telefone: (33) 99119-7110 endereço: rua lençóis 67 cep: 39.650-000 dos da denúncia celular: (33) 9 9 1 4 6 -6 4 0 6 bairro: b e c ã cidade: m in a s n o v a s assunto: s eguro (inclusive v g b l )/a utom óve l/d ive rgê ncia de va lo r de ind en izaçã o descrição dos fatos: o reclam ante teve sinistro em seu ve ículo e levou para o ficina a uto riza da do fa b rica n te chevrolet. a seguradora não q u e r a rca r com os danos do conserto do ve ículo e alega que o se g u ra d o d everá pagar co m p le m en taçã o de m ão-de-obra do conserto. o se gu ra do ente nd e tal co bran ça a b u siva pois já participa dos riscos por m eio da franquia e a seguradora está a tra san d o o reparo do ve ícu lo em não a utorizaram o conserto. o sac da empresa sim foi acionado? d o cu m en to s tipo aviso de sinistro encaminhamentos ( número 00522015254410s00 atendente data 1 -4 susep :: cgets e-mail enviado para ouvidoria@bbmapfre.com.br alexandregc 30/11/2015 13:56:18 reclamação sequnda-feira. 9 de maio de 2016 14:42 texto: senhor (a) ouvidor (a), considerando os termos da resolução cnsp n.° 279, de 30 de janeiro de 2013, requeremos analisar o pleito, abaixo, e responder diretamente ao interessado, no prazo de 15 (quinze) dias, contados a partir da data de recebimento desta comunicação. solicitamos, ainda, que, no caso de insatisfação do reclamante com a resposta dessa ouvidoria, seja indicada a possibilidade de formalização de denúncia à susep. para acessar os dados da sua reclamação, clique aqui atenciosamente, superintendência de seguros privados - susep ao retornar à susep, informe o número do seu atendimento ) 2 •• 4 susep :: cgetí e-mail enviado para bernardo.silva@tjmg.jus.br alexandregc 30/11/2015 13:56:18 reclamação segunda-feira, 9 de maio de 20 % 5 u 5 t f dá* í‘r texto: prezado(a) senhor(a),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pessoalmente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necessarios-para-a-instauracao-de-processo-administrativo/relacao-de- documentos-necessarios-para-a-instauracao-de-processo-administrativo _.clarecemos, por oportuno, que, no âmbito de competência desta autarquia, poderão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20071-900 são paulo r t formosa, 367 - 26° andar - edificio cbi sao paulo - sp - cep: 01049-000 distrito federal setor bancário sul, quadra 1 - bl.k - 13° andar - ed. seguradora brasília - df - cep: 70093-900 rio grande do sul rua coronel genuíno, 421 -1 1 ° andar centro histórico - porto alegre - rs - cep 90010-350 minas gerais rua piauí, 220 - 3o andar - santa efigênia belo horizonte - mg - cep: 30150-320 ao entrar em contato com a susep informe o número do seu atendimento. para acessar os dados da sua reclamação, clique aqui 3 -4 susep :: cge ? ; s u s t e ______ 0« $&lt;r# ü«» fir^vado» fs«3ê ík íã reclamação segunda-feira, 9 de maio de 2016 14,42 atenciosamente, superintendência de seguros privados - susep ao retornar à susep, informe o número do seu atendimento a reclamação será transmitida à ouvidoria da empresa reclamada, para que sejam prestados os devidos esclarecimentos ou apresentada a solução para o questionamento formulado. caso não haja atendimento satisfatório no prazo de 15 (quinze) dias, a contar da data de encaminhamento da reclamação, o reclamante poderá requerer a abertura de processo administrativo, pessoalmente ou por carta, munido de cópia dos documentos comprobatórios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civil brasileiro ) susep, em 09/05/2016 reclamante / representante: atendente: matrícula siape: 4 - 4 susep .: cget 10/05/2016 zimbra zimbra bernardo.silva@tjmg.jus.br c ter, 01 de dez de 2015 13:30 ,#1 anexo acatamento processo de ouvidoria - 1081737 de : respostaouvidoria &lt; respostaouvidoria@bbmapfre.com.br&gt; remetente : respostaouvidoria@bbmapfre.com.br assunto : acatamento processo de ouvidoria - 1081737 para : bernardo silva &lt; bernardo.silva@tjmg.jus.br&gt; ref. atendimento ouvidoria n° 1081737 atendimento susep n°: 2153174 2015 senhor(a) sérgio luis da silva filho acolhemos a sua solicitação, encaminhada peio correio eletrônico de atendimento ao cliente em 30.11.2015 e o caso está sob análise. favor aguardar a nossa resposta, a qual se dará até 14.12.2015. atenciosamente, ouvidoria 0 banco do brasil s*guro$ $ 8 a ! m b írush image001.jpg 4 kb sij í» io parcela 2o parcela ?•••• tim *5* 10:09 51% t i - 10:08 61 % ¦ q &lt;c extraio d o c o n ta corro?ile sair &lt; extrato dc conta cot rente sair mês referência: janeiro / 2016 mês referência: fevereiro ! 2016 m (x n rv v tx u ^ ^ o » • • • • t i m  5? 1 0 : 1 0 6 0 % (¦ _ ! » • • • • tim ^ 10:10 60% « d •c extrato de conta corrente sair &lt;c extrato de conta corrente sair m ê s r e fe rê n c ia : m a rç o / 2 0 1 6 m ê s r e f e r ê n c i a ; a b r i l / 2 0 1 6 i! ! ¦¦•! i .i i h 2/00 q •¦&gt;0,00 ? . i .ofí o &gt; 2 . 0 1 4 , 8 7 o •a»- . : 4 • lti r * . n m . ¦ i •jqtitm.«. i-vi *»¦+ 3o parcela .sl;,.0iioujl ¦|j 3 ari ,95© 1 v,.)0 : ! i © 2 . 0 5 8 , 5 3 o 50 00 o .11 :so ö i— » .? sr c c m p e n f.d d o 1 .4 0 0 ,0 0 © 2 0 1 ,6 0 © 2.01,43 © 10 0,00 d 2 0 8 ,2f&gt; © &gt; *1,1/0 &gt; c»ediaric&gt; !.ti ; id ílio b1‘ {! ! ’ i.-rjuf carta o i&lt; &gt;/()/ ¦ u kosio lidlr a te írto n e 1 ifv* &lt;. : ! ul ar iviíl.uvhm}! ¦ lo ill ,!». :t ) n s h i i k .! 7f iií nal. de r***i l . .+ 4o parcela 5,00 o 0 ,9 b o 5300,00 o 4 0 0 ,0 0 o 4 0 0 ,0 0 o f.jrjf;} sws mc;. t.imfvi referente ü h/04.2u1(j itranbf iíccüus of i iprifa rei e rent* a l ü o e l u ris-jo:,1. -ttrttntrrrrtt’ d o n ts 14 i :»184 flfi 7í&gt; 7 40h *i sf ri í|{ ) i ui7 da sbqut» no ta a 22704 19 12  2 &gt;rdt iro rio d vanuf ifuncle»et-cij on if ne r***i l . .+ danfse - documento auxiliar da nota fiscal de serviço eletrônica autonorte veículos e pecas ltda - a11 número da nfs-e avenida floriano neiva, 510 cep: 39400-314 - bairro: alto sao joao município: montes claros/mg cnpj/cpf 22.688. 121/ 0001-00 inscrição estadual 4330284180096 inscrição municipal 181700 201600000000707 data do serviço código verificador 02/02/2016 xíjd3a8v secretaria municipal da fazenda fone:(038) 32293196 - http://nfe.montesclaros.mg.gov.br:8082/nfse tomador do serviço dt. de emissão tributado no município 02/02/2016 montes claros/mg natureza da operação tributado no município município de prestação do serviço m ontes claros/m g nome / razão social sérgio luiz da silva - me endereço praça sebastiao leme do prado, 121b cidade minas novas bairro centro cnpj/cpf 03.733.038/0001-61 inscrição municipal t * * * * * * * uf mg fone 37641472 cep 39650-000 nome / razão social ** *** ** *** *** ** *** cnpj/cpf ****************** inscrição municipal * * * * * * * * * * * * * * * * * * intermediador do serviço descrição dos serviços valor total aliq. valor imposto retido 14.01 - serviço de fran - quant:1,00 1 . 6 7 1 , 9 9 6 6 , 8 8 não base cálculo issqn próprio valor de issqn próprio base cálculo issqn retido valor do issqn retido valor total do issqn valor dedução/descontos 1.671,99 6 6 , 8 8 0.00 0,00 6 6 , 8 8 0 ,0 0 /0 ,0 0 valor total da nfs-e 1671,99 valor líquido da nfs-e 1.671,99 informações adicionais nfse gerada a partir do rps 3513 | série: rps1 | emitido em:02/02/2016 | tipo: recibo provisório de serviços. contato: 779719 - depto: 04 - vendedor: 113059-cassia santos condições de pagamento: baixa adiantamento cliente baixa adiantamento cliente para consultar a autenticidade acesse: http://nfe.montesclaros.mg.gov.br:8082/nfse (x o f^ v ô u ^ danfse - documento auxiliar da nota fiscal de serviço eletrônica autonorte veículos e pecas ltda - a11 número da nfs-e / ?------- f   í — 7 avenida floriano neiva, 510 cep: 39400-314 - bairro: alto sao joao muni cí pi o: montes claros/mg cnpj/cpf 22.688.121/0001-00 inscrição estadual 4330284180096 inscrição municipal 181700 201600000000708 data do serviço código verificador 02/02/2016 oryhdskk dt. de emissão tributado no município 02/02/2016 montes claros/mg natureza da operação tributado no município município de prestação do serviço m ontes claros/m g secretaria municipal da fazenda fone:(038) 32293196 - http://nfe.montesclaros.mg.gov.br:8082/nfse tomador do serviço nome / razão social brasil veículos com panhia de seguros endereço avenida maria coelho aguiar, 21 5b lo c o c 8 andar cidade cep sao paulo 05804-906 bairro jardim sao luis cnpj/cpf 01.356.570/0003-43 inscrição municipal ***** ** * fone 40048000 uf sp nome / razão social ****************** cnpj/ cpf ****************** inscrição municipal ****************** intermediador do serviço descrição dos serviços valor total aliq. valor imposto retido 14.01 - mao de obra funilaria - quant:11,25 14.01 - mao de obra pintura - quant:15,44 14.01 - mao de obra mecanica - quant:7,50 14.01 - placa - q u a n ti,00 14.01 - material de pintura - q u a n ti,00 3 7 1 , 2 5 5 0 9 , 52 2 4 7 , 5 0 9 0 , 00 5 9 3 , 0 0 1 , 14 1 , 57 0 , 7 6 0 , 2 8 1 , 82 não não não não base cálculo issqn próprio valor de issqn próprio base cálculo issqn retido valor do issqn retido valor total do issqn valor dedução/descontos 139,29 5,57 0.00 0,00 5,57 0 , 0 0 / 1.671,98 valor total da nfs-e 1811,27 valor líquido da nfs-e 139,29 informações adicionais nfse gerada a partir do rps 3514 | série: rps1 | emitido em:02/02/2016 | tipo: recibo provisório de serviços. contato: 767284 - depto: 04 - vendedor: 113059-cassia santos o.s.: 198665 - placa: 00x 8663 - chassi: 9bg148ep0dc439526 - s10 lt fd2 sinistro:3897215151228381 segurado: sérgio luis da silva trib aprox r$ 18,73 federal e 5,43 municipal fonte: ibpt/fecomercio rs- condições de pagamento: seguradoras para consultar a autenticidade acesse: http://nfe.montesclaros.mg.gov.br:8082/nfse danfse - documento auxiliar da nota fiscal de serviço eletrônica autonorte veículos e pecas ltda - a11 número da nfs-e avenida floriano neiva, 510 cep: 39400-314 - bairro: alto sao joao município: montes claros/mg cnpj/cpf 22.688. 121/ 0001-00 inscrição estadual 4330284180096 inscrição municipal 181700 secretaria municipal da fazenda fone:(038) 32293196 - http://nfe.montesclaros.mg.gov.br:8082/nfse 02/02/2016 montes claros/mg dt. de emissão tributado no município 201600000000706 data do serviço código verificador 02/02/2016 cyixklhw natureza da operação tributado no município município de prestação do serviço m ontes claros/m g tomador do serviço nome / razão social sérgio luiz da silva - me endereço praça sebastiao leme do prado, 121b cidade minas novas bairro centro cnpj/cpf 03.733.038/0001-61 inscrição municipal ******** uf mg fone 37641472 cep 39650-000 nome / razão social ****************** cn pj/cpf ****************** inscrição municipal ****************** intermediador do serviço descrição dos serviços valor total aliq. valor imposto retido 14.01 - serviço rápido funilaria - q u a n ti,00 14.01 - mao de obra eletrica- q u a n ti,00 14.01 - mao de obra pintura - q ua nti ,00 14.01 - mao de obra mecanica - q uanti ,00 2 9 7 , 7 6 1 4 0 , 2 3 6 7 2 , 5 1 2 7 7 , 5 0 1 1 , 9 1 5 , 61 2 6 , 90 1 1 , 1 0 não não não base cálculo issqn próprio valor de issqn próprio base cálculo issqn retido valor do issqn retido valor total do issqn valor dedução/descontos 1.388,00 55,52 0.00 0,00 55,52 0 , 0 0 / 0 , 0 0 valor total da nfs-e 1388,00 valor líquido da nfs-e 1.388,00 informações adicionais nfse gerada a partir do rps 3512 | série: rps1 | emitido em:02/02/2016 | tipo: recibo provisório de serviços. contato: 779697 - depto: 04 - vendedor: 113059-cassia santos o.s.: 200529 - placa: 00x 8663 - chassi: 9bg148ep0dc439526 - s10 lt fd2 trib aprox r$ 186,68 federal e 42,33 municipal fonte: ibpt/fecomercio rs- condições de pagamento: baixa adiantamento cliente para consultar a autenticidade acesse: http://nfe.montesclaros.mg.gov.br:8082/nfse em quarta-feira, dezembro 23, 2015, 9:48 am, marcelo kiüan de almeida &lt;mkaimeida@bbmapfre.com.br&gt; escreveu: prezado(a); recebemos vosso e-mail e retornaremos com uma posição em até 48 horas úteis. obs.: não se faz necessário responder este, serve para confirmação de recebimento. oficinas --&gt; sobre nfs estamos dando preferencias para as que já estão no site, posteriormente as do e-mail serão liquidadas. atenciosamente marcelo kilian | sinistros automóvel | bb seguros (16) 3363-8910 - ramal int: *8990 38910 em segunda-feira, 28 de dezembro de 2015 16:28, sergio luis &lt;sergiominasnovas@yahoo.com.br&gt; escreveu: boa tarde já se passaram as 48 horas. e não obtive resposta, peço um pouco de atenção e velocidade pois já se passaram 50 dias da abertura do meu sinistro e até hoje meu carro ainda não foi nem liberado pra início do concerto. e levando em consideração aos estragos que o meu carro sofreu e o que foi periciado pela seguradora , na qual o perito fez o seu laudo inicial, está muito abaixo do que um mecânico de confiança meu falou que teria que ser concertado. e também preciso da liberação do carro reserva pra trabalho. peço encarecidamente que análise o mas rápido a essa solicitação. desde já grato sérgio luiz da silva filho oox 8663 sinistro 00522015254410s00 ütdba/ovczqo cjtaaj^ jüal c \ prezado(a) senhor(a): (h iahda/) 0 realizamos a peritagem no veículo em referência e constatamos divergência de valores entre o orçamento da oficina e o realizado por nosso perito. dessa forma, tendo em vista que os valores praticados pela oficina de escolha do cliente encontra-se em desconformidade com os de mercado, deixamos ao critério do mesmo duas possibilidades de escolha: (i) - a remoção do veículo para uma oficina que opere de acordo com os valores levantados, os quais correspondem aos médios de mercado; (ii) ou, então, a assunção, junto à oficina, pelo proprietário do veículo sinistrado, do valor inicial da divergência, equivalente a r$ 1.149,16 (valor este que poderá sofrer reajuste durante a execução dos reparos). assim, pedimos a gentileza de entrar em contato com a central de relacionamento da bb , para escolha de outra oficina ou para o envio de correspondência responsabilizando-se pela divergência de valores. pa</t>
  </si>
  <si>
    <t>Dar posse a membro da diretoria, conselho de administração ou conselho fiscal ou assemelhado sem a prévia homologação da susep.</t>
  </si>
  <si>
    <t>01 - §1 do Art. 1 do Anexo II da Res. CNSP 330, de 2015</t>
  </si>
  <si>
    <t xml:space="preserve"> 30/03/2017; 2 - falta: 381 - dar posse a membro da diretoria, conselho de administração ou conselho fiscal ou assemelhado sem a prévia homologação da susep; 3 - agente: companhia de seguros aliança da bahia, cnpj n. 15.144.017/0001-90, sede na rua pinto martins, n. 11, comércio, salvador - ba; 4 - descrição circunstanciada do fato: o agente elegeu e deu posse aos srs. paulo cortizo andion e andré coelho brandão como membros do conselho fiscal da entidade com mandato até a ago de 2018 antes da prévia aprovação da susep; 5 - norma infringida: § 1º do artigo 1º do anexo ii da resolução cnsp n. 330, de 2015; 6 - elementos de prova: fls.13/22 do documento 0189885 e fls.4/5 do documento 0189923; 7 - dosimetria da infração: a entidade não é reincidente em falta da mesma natureza; 8 - base da penalidade aplicável: artigo 28 da resolução cnsp n. 243, de 2011; e 9 - multa-base provisória: não sendo reincidente, a multa-base provisória foi fixada na cominação mínima prevista para a infração no valor de r$ 10.000,00 e, na hipótese do seu pagamento dentro do prazo, o representado terá direito ainda ao desconto previsto no artigo 4º da resolução cnsp n. 331, de 2015. isto posto, submeto o presente a vossa consideração com proposta de intimar companhia de seguros aliança da bahia a se manifestar, a bem dos seus direitos. atenciosamente,</t>
  </si>
  <si>
    <t>Comercializar produto em desacordo com as normas</t>
  </si>
  <si>
    <t>02 - Art. 97 da Circ. SUSEP 302/05</t>
  </si>
  <si>
    <t xml:space="preserve"> 15/10/2015, data de emissão dos últimos certificados individuais da promoção comercial “troco solidário”, conforme o arquivo premit de outubro de 2015, enviado em atendimento à requisição termo de designação susep/dicon/cgcof/n.º 36/17-01 (doc sei 0141669). fato punível e materialidade da infração: o § 1.º do artigo 58 da resolução cnsp 117/2004 determina o que segue: “art. 58. no caso de ser a proposta aceita pela sociedade seguradora, será emitida e enviada a apólice ao segurado, nos planos individuais, e ao estipulante, nos planos coletivos, no prazo e na forma regulados pela susep. §1.º nos planos coletivos, deverá ser emitido e enviado certificado individual aos segurados, para confirmação da adesão e da renovação, no prazo e na forma regulados pela susep. § 2.º a emissão do certificado individual não é obrigatória no caso de seguro de pessoas com capital global.” (grifo nosso) e, como será demonstrado a seguir, a qbe brasil seguros s.a. infringiu o dispositivo acima mencionado. por meio da requisição termo de designação susep/dicon/cgcof/n.º 36/17-03 (doc sei 0141679), questionamos em que momento ocorria o envio do certificado individual ao segurado. em resposta, a qbe brasil seguros s.a informou o seguinte: “como documento único enviado ao segurado, apenas o cupom não fiscal era disponibilizado, após o direcionamento do troco ao pagamento do prêmio”. considerando que o cupom não fiscal não continha nenhum dos elementos mínimos exigidos pela legislação vigente (artigo 5.º da resolução cnsp 107/2004, caput do artigo 28 da resolução cnsp 117/2004, dentre outros) para um certificado de seguro, concluiu-se que o cupom não fiscal não poderia ser entendido como o certificado individual e que, portanto, o certificado individual não era enviado ao consumidor. resta, portanto, configurada infração ao § 1.º do artigo 58 da resolução cnsp 117/2004. dispositivo infringido: parágrafo 1° do artigo 58 da resolução cnsp 117/2004. da análise de autoria e da responsabilidade solidária: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com efeito, o que se observa é que a(s) infração(ões) tem o envolvimento de vários profissionais do quadro funcional da sociedade, de distintos níveis hierárquicos, pertencentes principalmente às áreas de operações, de produto e de compliance. base legal ou infralegal da penalidade aplicável: artigo 70 da resolução cnsp 243/2011, com a redação dada pela resolução cnsp 293/2013. da fixação e da dosimetria da pena: no que diz respeito à dosimetria da pena, vale destacar que na comercialização de todos os seguros vendidos na promoção comercial troco solidário, vigente no período de 20 de outubro de 2010 a 19 de setembro de 2015, não eram enviados certificados individuais aos segurados. além disso, como subsídio à avaliação da dosimetria, foi extraído o relatório de antecedentes. por fim, observa-se que não foram constatadas circunstâncias agravantes e atenuantes e que foi encontrada falta anterior, para fins de reincidência, nos termos dos artigos 11, 12 e 14 da resolução cnsp 243/2011. anexo - documento(s)/elemento(s) de prova: requisição termo de designação susep/dicon/cgcof/n.º 36/17-01 e respectiva resposta (doc sei 0141669); requisição termo de designação susep/dicon/cgcof/n.º 36/17-03 e respectiva resposta (doc sei 0141679); relatório de reincidências e antecedentes (doc sei 0141725) destaca-se que os documentos encaminhados pela qbe brasil seguros s.a. foram transmitidos à equipe de fiscalização por meio eletrônico através do sistema de envio de arquivos (tipo de envio fiscalização - arquivos gerais), localizado no sítio da susep na internet. lavram o presente auto de infração, ficando essa sociedade intimada, na pessoa de seu representante legal, a alegar, no prazo máximo de trinta dias, contados a partir do dia 31/07/2017, o que entender, a bem de seus direitos, em face do(s) indícios de infração(ões) administrativa(s) nele apontado(s) e a(s) respectiva(s) penalidade(s) em tese aplicável(is), acrescida(s) da(s) reincidência(s), quando for o caso, sob pena de os fatos serem julgados sem as referidas alegações. a defesa deverá ser apresentada pela sociedade na sede da susep, situada na av. presidente vargas, n.º 730, subsolo, centro, cep: 20.071-900, rio de janeiro/rj, ou em seus escritórios de representação, de 2ª a 6ª feira entre 9h00 e 17h00. a solicitação de acesso ao processo eletrônico deverá ser realizada mediante a entrega de formulário (disponível em: http://www.susep.gov.br/setores-susep/seger/coate/ solicitacao-de-vista-de-processo/formulario-acesso-sei.docx), devidamente preenchido, datado e assinado, no protocolo da sede da susep ou dos seus escritórios de representação, nos dias úteis entre 9h00 e 17h00. caso a solicitação seja formulada por representante legal do interessado, o formulário deverá ser acompanhado de cópias autenticadas do(s) instrumento(s) de mandato e do documento de identidade do signatário da solicitação. são paulo - sp 20/07/2017 10:00 autuada: representante legal assinatura: ___________________________________________________ nome: _______________________________________________________ documento de identificação: _____________________________________ recepção: data: _____/_____/_____ - horário: _________</t>
  </si>
  <si>
    <t xml:space="preserve">01 - Circ. SUSEP 256/04, Art. 33, §1 </t>
  </si>
  <si>
    <t xml:space="preserve"> assunto: seguro (inclusive vgbl)/automóvel/outros celular: (51) 9917-8075 bairro: boa vista cidade: porto alegre descrição dos fatos: boa tarde, a minha filha eduarda é proprietária do veículo fiat cult 500 evo, placas itt 9389, o qual tem seguro da sulamerica apólice 2365593-0, com o qual ela sofreu um acidente no dia 27/02/2016 tendo o veículo sido recolhido do local por uma empresa contratada pela sulamerica o qual nunca mais vimos. registramos o sinistro o qual levou o n° 960884269 e conforme solicitado pedimos para o hsbc enviar o boleto com o valor das 09 parcelas restantes de um financiamento bem como toda a documentação exigida a qual foi entregue a despachante da sulamerica no dia 13/04/2016 porém nem o boleto e nem a indenização foram pagos mesmo passados os 30 dias de prazo máximo para a indenização. mais ou menos no dia 15/04 a minha filha foi procurada por um cidadão o qual disse fazer parte de uma tal sky assessoria e que haviam sidos contratado pela sulamerica para uma investigação paralela de culpabilidade, dois dias depois ela fez a tal entrevista e aguardou a resposta combinada para o dia 22/04 porque o prazo caia dia 21 porem era feriado. de lá para nada e a cada pedem uma coisa diferente ora ocorrência policial (já foi entregue) a sulamerica junto a documentação, querem o atendimento médico (não sei o porque) e não informam nada concreto e já estamos com 68 dias do fato. após muitas informações sobre o carro descobrimos que o mesmo esta no freitas leilões. por favor analizem com carinho e tomem as medidas cabíveis. att o sac da empresa não foi acionado? documentos t id o encaminhamentos número atendente data 1 -4 susep :: cgeti reclamação í , sexta-feira, 29 de julho de 2016 16:29 e-mail enviado para marcio@pimentel.com.br 03/05/2016 15:03:01 superintendência é» stcaaros ftlvaito» texto: senhor (a) ouvidor (a), considerando os termos da resolução cnsp n.° 279, de 30 de janeiro de 2013, requeremos analisar o pleito, abaixo, e responder diretamente ao interessado, no prazo de 15 (quinze) dias, contados a partir da data de recebimento desta comunicação. solicitamos, ainda, que, no caso de insatisfação do reclamante com a resposta dessa ouvidoria, seja indicada a possibilidade de formalização de denúncia à susep. para acessar os dados da sua reclamação, clique aqui atenciosamente, superintendência de seguros privados - susep ao retornar à susep, informe o número do seu atendimento 2 - 4 susep :: cgeti x supwmlefxjência j j stkmwc» ptlváte e-mail enviado para dudarafa@terra.com.br texto: prezado(a) senhor(a), reclamação sexta-feira, 29 de julho de 2016 16:29 03/05/2016 15:03:01 comunicamos que sua reclamação foi transmitida, nesta data, à ouvidoria da empresa reclamada, para que sejam prestados os devidos esclarecimentos ou apresentada a solução para o questionamento formulado. caso v.sa. não seja atendido, satisfatoriamente, no prazo de 15 (quinze) dias, a contar da data de recebimento desta comunicação, poderá ser formalizada denúncia junto à susep, pessoalmente ou por carta, em um dos endereços indicados abaixo, munido de cópia dos documentos que podem ser consultados no link abaixo, visando à abertura de processo administrativo, para apuração de irregularidades. http://www.susep.gov.br/setores-susep/seger/coate/relacao-de-documentos- necessarios-para-a-instauracao-de-processo-administrativo/relacao-de- documentos-necessarios-para-a-instauracao-de-processo-administrativo esclarecemos, por oportuno, que, no âmbito de competência desta autarquia, poderão ser aplicadas sanções administrativas, caso fiquem comprovadas irregularidades. assim, par a fins de recebimento de valores que v.sa. considere devidos ou para se exigir o cumprimento de outros direitos, deverá ser acionado o poder judiciário, observados os prazos prescricionais previstos no código civil brasileiro. endereços da susep: rio de janeiro - sede av. presidente vargas, 730 - centro rio de janeiro - rj - cep: 20071 -900 são paulo rua formosa, 367 - 26° andar - edificio cbi são paulo - sp - cep: 01049-000 distrito federal setor bancário sul, quadra 1 - bl.k - 13° andar - ed. seguradora brasília - df - cep: 70093-900 rio grande do sul rua coronel genuíno, 421 -11° andar centro histórico - porto alegre - rs - cep 90010-350 ao entrar em contato com a susep informe o número do seu atendimento. para acessar os dados da sua reclamação, clique aqui atenciosamente, superintendência de seguros privados - susep 3 - 4 susep :: cgeti s^efifilí^ksérsía ág pr&amp;mm reclamação sexta-feira, 29 de julho dei2016 16:29 ao retornar à susep, informe o número do seu atendimento a reclamação será transmitida à ouvidoria da empresa reclamada, para que sejam prestados os devidos esclarecimentos ou apresentada a solução para o questionamento formulado. caso não haja atendimento satisfatório no prazo de 15 (quinze) dias, a contar da data de encaminhamento da reclamação, o reclamante poderá requerer a abertura de processo administrativo, pessoalmente ou por carta, munido de cópia dos documentos comprobatórios relacionados ao teor da reclamação. esclarecemos que, no âmbito de competência da susep, poderão ser aplicadas sanções administrativas caso fiquem comprovadas irregularidades. assim, para fins de recebimento de valores considerados devidos ou para se exigir o cumprimento de outros direitos, deverá ser acionado o poder judiciário, observados os prazos prescricionais previstos no código civil brasileiro susep, em 29/07/2016 reclamante / representante: atendente: matrícula siape: 4 - 4 susep :: cgeti s u s e p s u perintendên cia de seguros p riva dos expediente 3 0 -0 0 1 2 2 3 /2 0 1 6 a susep protocolo n2: 2164871/2016 susep-rs sei:_________ , 2 9 jul 2016 protocolo reclamação e pedido de providências pela presente e com o devido respeito passo a relatar os problemas que estou tendo com a sul américa seguros desde o meu acidente ocorrido em 27/02/2016, sinistro n2 960884 269, apólice n2 2365593-0, o veículo foi recolhido pela seguradora no momento do acidente sendo o mesmo levado para local desconhecido com algumas avarias; 12 solicitaram toda a documentação do veículo incluindo o dut preenchido, assinado e reconhecido em nome da seguradora, mais chave, cópia da chave e manuais o que enviei no a mesma através da lumma despachante antes no final de março através da autorização de postagem n2 711828477 e fiquei aguardando o pagamento o que não ocorreu. 22 condicionaram a indenização do sinistro a uma entrevista que eu teria de fazer com um funcionário da sky assessoria a qual fiz tendo de escrever tudo em uma folha a 4 sem a presença de um familiar ou do meu procurador, o tal funcionário me informou que a resposta e pgto. ficaria agendado para 21/04 porem seria feriado passou para o dia 22/04 o que não ocorreu. 32 passados vários dias sem resposta fiz contato e veio nova exigência a que eu deveria fornecer o 12 boletim de atendimento do hospital o que providenciei e remeti más novamente não cumpriram e novamente não indenizaram. 42 novamente passados vários dias sem uma posição concreta veio nova exigência a de que eu deveria entregar o 12 atendimento feito pela concessionária o que solicitei junto a mesma e enviei a sul américa a qual dias depois informou ser uma declaração dos socorristas a qual não servia, requeri novamente e a concessionária informou ser o único documento que poderíam fornecer o que informei e ai não houve mais manifestação e nem respostas por dias até que fiz a denuncia junto aos srs. ai a cada 15 dias eles mandam um e-mail batendo na mesma tecla sem dar uma resposta concreta. cansada por estar sem o meu carro o qual passei toda a doc. para eles e tendo muitas despesas com locação de carro decidi no mês 06/2016 a ingressar em juízo e a ação esta tramitando. é um absurdo o que esta ocorrendo porque o prazo máximo de 30 dias para indenizar não foi obedecido e expirou a muito tempo porque hoje completa 05 meses. porto alegre, 27 de julho de 2016. epuarda kèrsting toso dudarafa@terra.com.br sulam érica auto seguradora e apóuce sla________________________g od______________________________ ft1 0 sulam ericacia nacional de seguros cnpj: 033.041.062/0001-09 registro susep: 5118 cód. susep: 15414.001772/2004-14 grupo susep: 05 - automóvel end: rua beatriz larragoiti lucas 121 - parte - cidade nova- rio de janeiro - rj - cep: 20211-903 unidade operacional: 60 - sao paulo proposta n°: 420254688 cadastro negócio: 270166440 apólice n°: 2365593-0 data de emissão: 30/12/2015 código de identificação - cl: 51.100.157.905.782 vigência: esta apólice vigora a partir das 24:00 horas do dia 21/12/2015 e termina às 24:00 horas do dia 21/12/2016. ltem n°:1 corretor de seguros________________________________________________________________________________________ dados do segurado__________________________________________________________________________________________ nome do c orretor punch corretora de seguros ltda cód. susep: seguradora eapólice100196444 telefone corretora: (11)3238-2250 segurado: eduarda kersting toso cpf: 022.583.000-02 end segurado: alam eda lorena, 838apto 42 -jar d im paulista sao paulo - sp - cep: 01424-001 uf município de residênda/centro de atividades: sao paulo - sp cep: 01424-001 veículo segurado____________________________________________________________________________________________ veículo: fiat - 500 c u lt1.4 flex evo - ano 2013 chassi: 3c3affar4dt521934 veículo blindado: não categoria tarifaria: 11 - repr comerc / vendas uf m unidpfo de pemoite/centro de atividades: sp - sao paulo (ar ea01) cep: 01424-001 tipo de combustível: gasolina e álcool transporte: pessoas placa: itt - 9389 - rs quantidade de passageiros: 04 garantias contratadas e prêmios____________________________________________________________________ _____ veícub reposição garantida- código do veículo (tabela fipe): 001361-7 - fator de ajuste: 100,00% tabela substituta: molicar ramo 31 31 - 53 53 42 42 42 42 garantia compreensiva (colisão, roubo e incêndio) veículo assistência residendal 24 horas cobertura para terceiros (danos materiais) cobertura para terceiros (danos corporais) cobertura de vidros cano reserva básico lanternas, faróis e retrovisores assistência 24 horas prêmio líquido iof prêmio total à vista prêmio total valor até (r $ )/q u an t vide condições gerais vide condições gerais gratuita 50.000,00 50.000,00 vide condições gerais 15 dias vide condições gerais plano 4 - - - - prêmio (r$) - 845,72 gratuita 162,26 57,48 152,26 79,16 111,76 96,01 1.504,65 111,05 1.615,69 1.615,70 sulam érícaauto franquias e descontos franquias (r$) veículo: para-brisa: vidro traseiro: vidro lateral: lanterna: lanterna led: farol: farol xenon/led: retrovisor 2288,26 300,00 300,00 150,00 250,00 700,00 300,00 1.700,00 280,00 descontos bônus: classe 3 renovação: sim desc. renov. mesma ev forma de pagamento do prêmio_____________________________________________________________________________ quantidade de parcelas mensais: melhor dia: 1a parcela: 05 28 r $323,14 primeira parcela através de: debito em conta corrente em 29/12/2015 demais parcelas: autorizado o debito em conta corrente n. 4812-36 da ag 402- banco 399 r$ 323,14 nome: eduarda kersting toso cpf/cnpj do titular da conta: 022.583.000-02 em caso de restituição de valores durante a vigência, a devolução será realizada na mesma conta informada peto segurado para débito do prêmio (banco: 0399 / ag: 402 - 0 / cc: 4812 - 36). questionário comercial_____________________________________________________________________________________ condutor indeterminado: nao condição do segurado: empresa a empresa possui programa de direção defensiva? não os motoristas têm participação financeira em caso de sinistro? não informações sobre o principal condutor nome do principal condutor eduarda kersting toso data de nascimento: 07/10/1989 cpf do principal condutor 022.583.000-02 informações sobre o seguro/uso do veículo utilização do veículo: representação comerdala/endas sexo: f períodos de uso: predominantemente diurno qual a quilometragem média rodada peto veículo? de 2501 a 5000 km em caso de viagem, onde o veículo pernoita? nao viaja telefones de atendimento___________________________________________________________________________________ serviço de atendim ento ao cliente (sac) 0800 725 5901 0800 702 2242 (exclusivo para portadores de limitação auditiva ou de feia) assistência 24 horas, aviso de sinistro e demais serviços 4004 4100 (capitais e áreas metropolitanas) - custo de uma ligação local 0800 727 4100 (demais regiões) ouvidoria 0800-725-3374 em algumas regiões, é preciso discar o ddd e o código da operadora. * em regiões com o mesmo ddd da capital ou que não com pletem ligações no 0800, deve-se discar o 4004. observações/especificações_______________________________________________________________________________ _ ciente em caso de extinção da tabela fipe, que poderá ser consultada no site www.fipe.org.br, a indenização será apurada de acordo com a tabela molicar, publicada no site www.molicar.com.br. estou que www.sulamerica.com.br/manualdosegurado, sendo desnecessário o envio da via impressa. o reembolso das coberturas de assistência, vidros e carro reserva poderá ser substituído pela prestação dos serviços. o questionário adm a foi utilizado no cálculo de seu seguro e será parâmetro de avaliação de eventuais sinistros. confira as respostas com atenção e contate seu corretor de seguros em caso de incorreções. disponibilizadas condições contrato estarão gerais deste site no de as « t j sulam érícaauto haverá perda de direito à indenização se o principal condutor indicado no questionário não possuir carteira de habilitação legalmente válida para a condução de veículos da categoria tarifaria do veículo segurado e/ou estiver com seu direito de dirigir suspenso ou cassado, nos termos da legislação de trânsito nacional. confira ainda, todos os dados constantes na apólice, como categoria tarifaria do veículo, tipo de transporte, uf de município de pemoite/centro de atividades, cpf/cnpj, entre outros, pois estas informações foram utilizadas no cálculo de seu seguro. quaisquer irtgçneções ou alterações durante a vigênda do contrato devem ser comunicadas a seguradora. os dados &amp; informações fornecidas são de inteira responsabilidade do proponente e do corretor de seguros, seu representante legal neste confcafc, atenção: leià ateotamente o manual do segurado, em especial, os capítulos quais são os deveres do segurado, quando o segurado perde seus direitos e o que não está ooberto peb sulamérica auto. se a seguradora constatar qualquer declaração inexata ou omissão de informações, o segurado perderá o direito à indenização em caso de sinistro, conforme artigos 765 e 766 do código civil. estão excluídos da cobertura de rcf os danos estéticos. o segurado optou por não contratar a garantia de danos morais renovação sem substituição de veícub. caso o veícub não esteja emplacado na contratação do seguro, entre em contato com seu corretor após o emplacamento e solicite a alteração na sua apólice. as condições contratuais/regulamento deste produto protocolizadas pela sodedade/entidade junto à susep poderão ser consultadas no endereço eletrônico www.susep.gov.br, de acordo com o número de processo constante da apólice/proposta. atendimento susep exclusivo ao consumidor (9:30 às 17:00): 0800 021 8484. susep - superintendência de seguros privados - autarquia federal responsável pela fiscalização, normatização e controle dos mercados de seguro, previdência complementar aberta, capitalização, resseguro e corretagem de seguros. caso o débito não ocorra devido à falta de saldo na conta corrente, serão acrescidos juros diários de 0,5167%. a não ocorrência de débito após 25 dias da data de vencimento implicará no cancelamento de sua apólice, conforme capítulo “formas de pagamento do prêmfo e consequência da inadimplência” das condições gerais. o registro deste plano na susep não implica, por parte da autarquia, incentivo ou recomendação a sua comercialização. o segurado poderá consultar a situação cadastral do seu corretor de seguros no site www.susep.gov.br, por meio do número de seu registro na susep, nome completo, cnpj ou cpf. em atendimento à lei 12.741/12 inform am os que incidem as alíquotas de 0,65% de pis/pasep e de 4% de cofins sobre os prêmios de seguros, deduzidos do estabelecido em legislação específica. a cobertura para farol/lantema de xenon ou led é válida somente para veículos de passeb e picape e só poderá ser utilizada se as peças forem itens de série do veícub. pela s g p flx te ra gabriel portella presidente do g rupo sulamérica eduardo dal ri vice-presidente de autom óveis y, m t n i s u f l i o ü a s c  p * 0 l . n á ^ í í í f i ^ 7  t o t p í l r i a m i l \i t ü n a c l o i m a t i- a n r i i h a / n a c i o r j n i o f m a v . , 4 h c a n í&gt; i í * * -* * ( k duarda kkk3ttw q toso t— ooc n w tr w íf * * ( • 1 0 3 3 3 4 4 7 7 * j » / í j * * ____ _ \--------- 1 _ m .fct s s t **» * , f p 2 2 . 3 8 3 . o o o - o ã f o ^ / i ^ ü l j £ -0 9 6 /3 1 0 9 4 5 6 w t 7 u w m u é a . 3 0 0 . w j u - u é cfop 5.307 - prestação de serviço de comunicação a não-contribuinte. para 2a via da f a tu r a , d é b it o a u t o m á t ic o e d ú v id a s , a c e s s e n e t .c o m .b r discrim inação do serviço tv por assinatura 01/05/16 a 31/05/16 mensalidade tv principal seleção cbo net top hd conf rd sub total tv por assinatura banda larga 01aj5/16 a 31/05/16 mensalidade v1rtua combo v1rtoa10 mega rd sub total banda larga cofins icms pis base de cálculo: base de cálculo: base de cálculo: 213,23 148,75 213,23 alíquota: alíquota: alíquota: 3,00% 30,00% 0,65% valon valor valor 6,39 44,62 1,39 reservado ao fisco 8fda.q68f.a408.009c.5f57.49e0.f6ee.77b6 icms 25.30 pis 0,97 cofins 4.46 19,32 0,42 1,93 148.82 148,82 64,41 64,41 213,23 valor da nota fiscal: - c ontribuição para o f ust 1 % e f unttel 0,5% sobre os valores dos serviços de telecom unicações - não repassados ao assinantev - base de calculo do icms reduzida conforme inciso ia r t . 24 do uvroi do decreto estadual nr 37699 de 26.08.1997/c cnlral de atendim ento anatel1331/a didonal de 2% da abquota re la tivo ao am pa r a is, criado pela lei t f 14 .7 42 /15 . / lei 12.741/12 - icms total 44,62 - pis total 1,39 - cofws total 6 .39 claro s a rua glberto laste - 5 2 -tbw eo - santa cep: 90850300 porto alegre - rs cnpj: 40.432.544/d 101 -00 le .: 963.109.456 eduarda kersting toso r anua garibaldi02268 apt 304 mont serrat porto alegre-rs cpf/cnpj: 022.583.000-02 le: isento código cliente: 00037965249-0000 uf: r s v ia única data emissão. 01/06/2016 n° fatura: 1606903958020 série: b2 nf: 000010455 processo 021198-1400/00-9 de 29/06/2000 parecer 100905178 nota fiscal de serviços de telecomunicação resumo dos serviços prestados/origem___________ alíq. icms icms______ pis cofins valor(r$) net fone via embratel/net fone via embrate 30,00 17,21 0,37 1,72 57,35 reservado ao fisco: f00e.753f.e5f9.adf.8aa8.3824.aeb6.48ce valor total base de cálculo icms alíquota valor isento valor outros 57,35 57,35 57,35 57,35 30,00 valor do icms 17,21 17,21 0,00 0,00 0,00 0,00 mensagem: 1 -b t e d 0q a 1e n t 0 destina-se. apenas. a atendimento a wformaçoes da caraterfbcal não deve ser u h iza d 0 para pagamento de serviços c ontribuição fust net fone = is 0,36 / c ontribuição rjwttel net fone= rs 0,18 - código das operadoras de longa distância: {21 - efcbratel) (12 - ctbc) (14 - brasil ttlecom) (15 - telefônica) (17 - transft) (19 - tpsilon) (23 - tít h ig ) (24 - primeira escolha) (26 - idt) (28 - hjp telecom) (31 - taem ar) (32 - convergia) (35 - easytonq (39 - aipha wobius) (41 - 7h ik 45 - byipsai) (51 - 51 b r a s l) {61 - nexu5 (81 - s o a ia t a ) (89 - konecta) (91 - p c0rph85 - a r o ic a n f i) lei 12.741/12 - icms total 1 7 .2 1 -p is total 0,38 - coflm s total 1.73________________________________________________________________________________________________________________________________________________ conheça net assist suporte técn ico 24 horas . í. •• s íst supor-: r.- p ro p o rd o n a tra n q u ilid a d e e com odidade, e isenta o cobranças avulsas para m udança de endereço, troca de cabos e con trole rem oto, entre outros. a partir de net assist equipamentos o su p o rte té cn ico p a ra im pressoras, sm artvs, s m a rip h o n e s, ta b le ts, n o fe b o o k s, etc. ínstalacao de programas e aplicativos rea uzaçao de backup c o n f ig u r a c a o de roteador e rede sem fio (wérêlessj formatacao e remoção de virus do computador a c e s s e : n e t c o m b o . c o m . b r f o j a - d o s - n e t s o u l i g u e 1 0 6 2 1 e s a i b a m a i s . s?viço a s p r i • í d  a c  f v - n‘e ~ c o ~ sjte c spcvfc i c 3d ? e ~ s_3 c c a r » ca-acie -srsas e ccrd.çõès * h&gt;j c&gt;h 20«33 33o 3:0 ° sm m&gt; 2 ?g)&gt; mjj o z oh m o s5m &lt;&gt;m o £ 0 0k- m i i tn o 33 •s.o 2?? ??j&gt; o 3&gt; o t 3 o 33ma3&gt; am o o 3&gt; -a&lt; i c d n t r r n . -0 . n0 h 0 ¦j* &gt; r m 0 33 v ;• m c » ¦ s  ® u %i3 í ;¦ 1 l l l0 i -tõ - 1 f t&lt;0 4* l^v pj -c o &gt; ntr -{¦n 33 hh \ &gt; b £z ~ 1 :::£ 0) ! co o ¦-a-*. z ¦:&gt; rzo m• *c  • ts 33 cn &gt; sj o g h (-! co ; 03 &lt; o- -í ¦ 0 - - 3&gt; tf to -4 - - •v 3&gt; &gt; c -4 h a ji 3 d i a33 &lt; ^ 3 •v 2 m m z •5 r g —\ o ¦0 -i . s 5 -oo &gt; ó ~ omo o i í&lt; n ¦ -&gt; &gt; r j, o 8 o s v -c &lt;d 5 &gt; &lt; it f i 7 ih j wço ç 3&gt;&gt; f 5 co o to &gt; ti *tl &gt; zo -t* c ¦n m o c . r d 03 in pj» |d &gt;0 to 4&gt; j1tí3*. m $ b è ¦ a z 3&gt; «d -ví e s ; pjw ck 00 \ &gt; ü c0 o ¦4» solicitação de autorização de postagem em agência cadastrada com sucesso ^ v i _____ enviada em: 09/03/2016 10:25:22 para: eduardaktoso@gmail.com cc: eduarda.toso@.globalsaude.com.br d a d o s d a e m is s ã o : c ó d ig o da a u to riz a ç ã o de p o s ta g e m : 7 1 1 8 2 8 4 7 7 e m itid o em : 08/03/2016 d ata d e v a lid a d e : 07/04/2016 s e rv iç o de e n co m e n d a : sedex reverso r e m e te n te a u to riz a d o : corretora de seguros q u a n tid a d e de o b je to s : 1 s e rv iç o s a u to r iz a d o s : • a q u is iç ã o de e m b a la g e m : não • v a lo r d e c la ra d o de r $ 100,00 • d e s t in a t á r io : - para utilizá-la, o consumidor deverá se dirigir a uma a g ê n c ia p ró p ria o u f ra n q u e a d a d o s c o rre io s , levando consigo,o b rig a to ria m e n te , o código de autorização e o objeto para postagem. lumma despachante rua continental 304 , jardim do mar são bernardo do campo - sp c e p : 09750-060_____________________________________________________________________________ _ para melhor atende-lo dispomos de um canal de atendimento através do “acompanhe seu processo”. srs, o passo a passo: solicite seu cadastro através do e-mail: acompanhamentodesinist ro@ him m a.eom .br com os seguintes dados: nome e sobrenome; placa, sinistro. acesse o site da lumma através do link: www.lumnia.com.br , no canto inferior direito da página terá um item: “acompanhamento de sinistro preencha o seu login e senha. coloque um dos dados do processo, como placa, sinistro, e poderá visualizar as informações e andamento, como data do acionamento, recebimento ttp s://m a i i googl e .co m /m a i l/u /0 /# i nbox/1535c89cf61094af 1/9 assim, o acompanhamento se toma mais rápido e fácil, possibilitando visualizar online o andamento do seu processo. não é necessário manter contato com a central de atendimento, nem aguardar na fila. acesse e confira o andamento com maior agilidade e praticidade. em breve, o responsável do seu processo entrará em contato para confirmar o recebimento deste e-mail e, caso não haja impedimentos, emitir a autorização de postagem. segue e-mail para contato: rafael.figueii-edo@lumma.com.br n o m e d o s e g u ra d o : e d u a r d a k e r s t in g t o s o n o m e d o te rc e iro : n ú m e ro d o s in is tro : p la ca d o v e íc u lo : n o m e d o p ro p rie tá rio d o v e íc u lo : c p f p ro p rie tá rio : uf e m p la c a m e n to : m a rc a / m o d e lo : a n o fa b ric a ç ã o : a n o m o d e lo : r e n a v a m : c h a s s i: t ip o d e c lie n te : c a u sa d o s in is tro : 9 6 0 8 8 4 2 6 9 it t 9 3 8 9 e d u a r d a k e r s t in g t o s o 0 2 2 .5 8 3 .0 0 0 -0 2 rs 1 0 8 2 6 8 - l/f ia t 5 0 0 c u l t 2012 2 0 1 3 4 9 7 1 5 9 1 5 5 s e g u ra d o c o lis ã o 3 c 3 a f f a r 4 d t 5 2 1 9 3 4 n o m e d a c o rre to ra : e d u a r d a k e r s t in g t o s o t e le fo n e da c o rre to ra : (11 )9 4 2 3 2 -8 8 6 2 / (11 )9 9 4 8 6 -9 2 0 4 e d u a rd a k to s o @ q m a il.c o m : e d u a rd a .to s o @ q lo b a ls a u d e .c o m .b r e -m a il da c o rre to ra : c o n ta to d a c o rre to ra : d ata d o s in is tro : p o ssu i d é b ito s : v a lo r to ta l d o d é b ito : ip va: d p v a t : m u lta s : l ic e n c ia m e n to : o u tra s ta x a s : r e s triç õ e s : 2 7 /0 2 /2 0 1 6 sim 1 .5 0 2 ,8 3 1 .1 0 7 .6 5 1 0 5 .6 5 2 1 2 ,8 1 7 6 ,7 2 0,00 g ra v a m e - v e íc u lo p o s s u i g r a v a m e a tu a l c a d a s tro b in - a l ie n a c a o f id u c ia r ia b ase e s ta d u a l (f o ra d e s p ) - s n g - a lie n a ? ? o f id u n e c e s s ita p e s q u is a re s triç ã o com p re s ta d o r: n ão q u a l re s triç ã o d e g ra v a m e : v e íc u l o c o m a l ie n a ç ã o f id u c iá r ia c o m d o c u m e n t o já e m it id o n o m e da fin a n c e ira : h s b c f in a n c e b r a s il s a b a n c o m ú l t ip l o c n p j d a fin a n c e ira : 3 1 .8 0 4 .9 6 6 /0 0 0 1 -0 5 tt p s://m a i i.google.co m /m a i l/u/0/#inbox/1535c89cf61094af 2/9 10/03/2016 s relação de documentos - placa itt9389/sinistro:960884269/segurado: eduarda kersting toso - eduardaktoso@gmail.com - gmail de documentação, pendências, etc. assim, o acompanhamento se toma mais rápido e fácil, possibilitando visualizar online o andamento do seu processo. não é necessário manter contato com a central de atendimento, nem aguardar na fila. acesse e confira o andamento com maior agilidade e praticidade. em breve, o responsável do seu processo entrará em contato para confirmar o recebimento deste e-mail e, caso não haja impedimentos, emitir a autorização de postagem. segue e-mail para contato: rafael.figueiredo@lumma.com.br eduarda kersting toso 960884269 itt9389 eduarda kersting toso 022.583.000-02 108268 - l/fiat 500 cult rs 2012 2013 497159155 3c3affar4dt521934 segurado colisão eduarda kersting toso 27/02/2016 sim 1.502,83 1.107.65 105.65 212,81 nome do segurado: nome do terceiro: número do sinistro: placa do veículo: nome do proprietário do veículo: cpf proprietário: uf emplacamento: marca / modelo: ano fabricação: ano modelo: renavam: chassi: tipo de cliente: causa do sinistro: nome da corretora: e-mail da corretora: contato da corretora: data do sinistro: possui débitos: valor total do débito: ip va: dpvat: multas: licenciamento: outras taxas: restrições: telefone da corretora: (11 )94232-8862 / (11 )99486-9204 eduardaktoso@qmail.com: eduarda.toso@qlobalsaude.com.br 76,72 0,00 gravame - veículo possui gravame atual cadastro bin - alienacao fiduciaria base estadual (fora de sp) - sng - aliena??o fidu necessita pesquisa restrição com prestador: não qual restrição de gravame: nome da financeira: cnpj da financeira: veículo com alienação fiduciária com documento já emitido hsbc finance brasil sa banco múltiplo 31.804.966/0001-05 https://mai i .google.com/m ai l/u/0/#i nbox/1535c89cf61094af 2/9 r 1 cpf / cnpj do financiado: modalidade de contratação: valor da indenização: 022.583.000-02 fipe 001361-7- f ator de ajuste: 100,00% r$ 35.905,00 acordo parcial: observação: j a c t  ^ prêmio : r$ 969,42 documentos necessários pessoa física: cópia do cpf e rg ou documento equivalente do segurado/proprietário;oá- cópia legível da cnh do condutor do sinistro; &lt; q ,|c . cópia legívclda cnh do principal condutor informadonriqar \ \ \ \ questionário de avaliação de risco) daápólice;\nos casos de róubo, furto ou extravio do documento, anxm oio deverá ser enviada cópia da 2a via do documento. não serão aceitos protocolos dó detran cój\ia legível do boletim policial. caso não tenha sido realizado enviara declaração de ausência da ocorrência policiáfcorrrfelato da ocorrera foqui (desenho de cqmo ocorreu o acidente); a li: z. ----------- / / \ \ / \ / cópia do comprovante de residência atualizado em nome do -)q segurado/proprietário. caso o segurado não possua comprovante de endereço em seu nome, deverá enviar um comprovante em nome de terceiros + declaração de residência (modelo em anexo), onde deverá informar que não possui nenhum comprovante em seu nome; q autorização para liberação da indenização pf (modelo em anexou* af reconhecer firma por autenticidade: somente poderemos efetuar o pagamento através de conta corrente se esta for de titularidade do beneficiário da indenização (pessoa física), não é possível o crédito em conta poupança ou conta conjunta onde outra pessoa seja o primeiro titular. &lt;q í&lt;~- original do certificado de propriedade do veículo (dut/crv), preenchido em favor da (jk * . ^ sulamerica, conforme abaixo (para melhor entendimento veja modelo em anexo). chave original e/ou reserva (o não envio das chaves não impedirá o o t pagamento da indenização) — cavy-v -zjlú\ . \ob^n: cãsá^egtiv^o/se^j)ess(^jui*idlca.seránh^cessáhq^encamhthar a cópia do cqptrafòysoçial. íttp s ://m ai i. googl e.co m /m ai l/u /0 /# i nbox/1535c89cf61094af 3/9 i t i t , *r   i r  j banco santander / banco do brasil / caixa econômica federal / bradesco) — enviar juntamente com a documentação o nome, telefone e e-mail do gerente responsável pelo financiamento. é praxe as financeiras oferecerem 02 opções: _ 11 quitação do débito total: se a opção do cliente for pela quitação do débito, a seguradora poderá antecipar parte da indenização, fazendo o pagamento diretamente à financeira através de boleto bancário, desde que o saldo devedor total seja inferior ao valor líquido da indenização do seguro. 2 1 substituição de garantia: se àopção do cliente for pela substituição de garantia a mesma poderá ser realizada por meios próprios diretamente com o agente financeiro ou através cio instrumento particulairde transação para substituição de garantia (segue modelo), onde o cliente autoriza a seguradora,^ápós a baixa do gravame, a liberar a indenização diretaihente à revenda/concessionária de aquisição do novç bem que será dado em garantia da dívida. existe também a opção do cliente de quitar todo o financiamento com recursos próprios e recebe^ o valor da indenização de forma integral após a baixa do gravame. e importante que durante a regulação dp, sinistro o cliente mantenha o seu contrato de financiamento em diaj^vifando problemas na negociação com o agente financeiro. para agilizar o seu processou importantèxfue todos os documentos sejam enviados em uma única remessa. nos casos de enviode boleto/carta com saldo deyedor, esses deverão ser enviados juntp^tíom toda a documentação ou postemqnnente através do email do responsável do processo. obs: o boleto/carta com saldo devedor será pago após a análise de todos os r documentos solicitados. caso o veículo tenha débitos: comprovante de pagamento de multas; comprovante de pagamento de ipvas (integral); comprovante de pagamento de licenciamento; comprovante de pagamento de dpvat. caso deseje, os débitos e/ou as autuações poderão ser deduzidos da indenização mediante cobrança da taxa do despachante no valor de r$ https://m ail.qooqle.eom /m ail/u/0/#inbox/1535c89cfb1094af 5/9 atendimento personalizado n°: pac/processo susep n°: resumo do assunto: segurada reclama atraso no pagamento de indenização ref. seguro automóvel. documentos a serem apresentados, pelo reclamante para instrução de procedimento de atendimento ao consumidor - pac (circular susep 292/05) isl requerimento à susep, devidamente datado e assinado pelo interessado, incluindo a narração dos fatos e com indicação da divergência ou dúvida; a interessado pessoa física - qualificação, cópia do documento de identidade, cpf e informações para contato; 0 interessado pessoa jurídica - qualificação, estatuto ou contrato social e informações para contato; ? representante legal de pessoa física ou jurídica - qualificação, procuração (original ou cópia autenticada) ou instrumento que comprove seus poderes de representação, documento de identidade, cpf e informações para contato; 0 resposta final da empresa reclamada (posterior ao registro da reclamação na susep); 0 declaração de que a ouvidoria não forneceu resposta no prazo determinado pela susep (se for o caso). documentos específicos do ramo, conforme indicado a seguir: 2. seguro 2.3 seguro de dano 2.3.1 atraso, negativa ou divergência de pagamento da indenização 0 apólice ou certificado de seguro, vigente na data do sinistro; 0 aviso de sinistro protocolado na seguradora; |ãj] comprovante de pagamento integral ou das parcelas do seguro (prêmio), até a data do sinistro; m proposta de seg</t>
  </si>
  <si>
    <t>Artigo 88 do Decreto-Lei 73/1966, com a redação dada pela Lei Complementar 126/2007, c/c Art. 7° da Circular SUSEP N° 517/2015</t>
  </si>
  <si>
    <t>31/03/2017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conta contábil - 313112 - judiciais - direto (quadro estatístico 376) durante a fiscalização, as informações contidas no quadro estatístico 376 foram comparadas com os dados preenchidos no quadro 06 do fip (doc. sei 0476334) e com os valores contabilizados nas correspondentes contas contábeis, entre elas a conta 313112 - judiciais - direto. para maiores detalhes vide a tabela comparativa (doc. sei 0476350). a fiscalização solicitou explicações quanto à diferença apontada na seguinte operação: - para a conta contábil 313112 - judiciais - direto, correspondente ao tipo de operação 1006 - direto - judicial, entre os valores apontados no quadro estatístico 376 e no quadro 6 do fip/balancete de data-base março de 2017, em 0,9%, perfazendo um total de r$ 1.724,82. o questionamento foi realizado via a requisição td susep/disol/cgfip n° 31/2017-03 (doc. sei 0476415), nos seus item 1. em resposta (doc. sei 0476415), a companhia justificou as diferenças da seguinte maneira: - para a conta contábil 313112 - judiciais - direto, a companhia aponta que houveram erros de reclassificação de sinistros judiciais, os quais são criados como administrativos e depois reclassificados manualmente para judiciais, conforme resposta transcrita abaixo: diferença ocasionada, em boa parte, em razão da não reclassificação contábil dos sinistros administrados para os judiciais. - procedimento atual de contabilização de sinistros judiciais: as movimentações de sinistros são registradas no sistema de sinistros da companhia e o mesmo gera contabilizações de forma automática, tanto para os sinistros administrativos quanto para os judiciais, sendo ambos contabilizados em contas de sinistros administrativos. para o fechamento mensal a contabilidade identifica, por meio de relatórios suporte gerados pelo sistema de sinistros, os sinistros judiciais e efetua a reclassificação das contas de sinistros administrativos para as contas de sinistros judiciais. este procedimento é realizado de forma manual. da resposta enviada pela companhia, está incluída planilha (doc. sei 0476435) em que se verificou que 13 sinistros não foram reclassificados de administrativos para judiciais. no total, existem 126 registros do tipo de operação 1006 do quadro estatístico 376, o que ocasionaria um erro de aproximadamente 10% de registros que não foram modificados manualmente. a fiscalização considerou que o processo de conciliação relacionado a sinistros judiciais foi falho, uma vez que o processo da companhia é criar todos os sinistros como administrativos e depois transformar os sinistros em judiciais, conforme o caso, ocasionando falha deste processo em cerca de 10% dos registros, os quais não foram detectados durante a conciliação contábil. a fiscalização considerou este fato como falha na conciliação contábil da companhia, motivando o registro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quadro 6 do fip (doc. sei 0476334) - tabela comparativa - quadro 376 (doc. sei 0476350) - balancete data-base março de 2017 (doc. sei 0476808) - requisição td susep/disol/cgfip n° 31/2017-03 (doc. sei 0167628) - divergências quadros estatísticos (doc. sei 0476435) - quadro 7 do fip (doc. sei 0476447) - arquivo de registros obrigatórios sinpend.dbf do mês de março de 2017 (doc. sei 0476818) - quadro 376 do fip (doc. sei 0477128) - tabela comparativa - quadro 377 (doc. sei 0477088)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apresentar irregularidade na conciliação contábil  31/03/2017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conta contábil 319111100002 - recup. inden. de resseg. local - direto - judicial (quadro estatístico 376) durante a fiscalização, as informações contidas no quadro estatístico 376 foram comparadas com os dados preenchidos no quadro 06 do fip (doc. sei 0476334) e com os valores contabilizados nas correspondentes contas contábeis, entre elas a conta contábil 319111100002 - recup. inden. de resseg. local - direto - judicial. para maiores detalhes vide a tabela comparativa (doc. sei 0476350). a fiscalização solicitou explicações quanto à diferença apontada na seguinte operação: - no tipo de operação 1013 - rec. resseg. de sinistro não pagos - judiciais, entre os valores apontados no quadro estatístico 376/quadro 6 do fip e o balancete de data-base março de 2017, em 1,6%, perfazendo um total de r$ 31,56. o questionamento foi realizado via a requisição td susep/disol/cgfip n° 31/2017-03 (doc. sei 0476415), nos seu item 2. em resposta (doc. sei 0476415), a companhia justificou a diferença da seguinte maneira: - para a conta contábil 319111100002 - recup. inden. de ress. local - direto - judicial,para o tipo de operação 1013 - rec. resseg. de sinistro não pagos - judiciais, a companhia aponta que houveram erros de conciliação das informações de sinistros da companhia, conforme resposta transcrita abaixo: a diferença apontada foi ocasionada por falha no atual procedimento de conciliação das informações que são geradas pelo sistema de sinistros da companhia. quando do processo de validação são identificadas quaisquer inconsistências e estas são corrigidas pela área atuarial. a partir de julho 2017 os procedimentos de conferência se tornarão mais detalhados com o intuito de detectar a ocorrência de quaisquer eventuais diferenças entre os valores informados na movimentação do quadro 376 e os movimentos registrados na contabilidade e fip/susep. a fiscalização considerou que o processo de conciliação relacionado a sinistros judiciais foi falho, uma vez que o processo da companhia é criar todos os sinistros como administrativos e depois transformar os sinistros em judiciais, conforme o caso, ocasionando falha deste processo em cerca de 10% dos registros, os quais não foram detectados durante a conciliação contábil. a fiscalização considerou este fato como falha na conciliação contábil da companhia, motivando o registro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quadro 6 do fip (doc. sei 0476334) - tabela comparativa - quadro 376 (doc. sei 0476350) - balancete data-base março de 2017 (doc. sei 0476808) - requisição td susep/disol/cgfip n° 31/2017-03 (doc. sei 0167628) - divergências quadros estatísticos (doc. sei 0476435) - quadro 7 do fip (doc. sei 0476447) - arquivo de registros obrigatórios sinpend.dbf do mês de março de 2017 (doc. sei 0476818) - quadro 376 do fip (doc. sei 0477128) - tabela comparativa - quadro 377 (doc. sei 0477088)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apresentar irregularidade na conciliação contábil  31/03/2017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conta 119311000002 - sinistros pendentes de pagamento - jud. as informações contidas no quadro estatístico 377 foram comparadas com os valores do quadro 7 do fip (doc. sei 0476447), os saldos contábeis existentes no balancete de data-base março de 2017 (doc. sei 0476808) e o arquivo de registros obrigatórios sinpend.dbf (doc. sei 0476818). para detalhes no comparativo, vide tabela comparativa (doc. sei 0477088). a fiscalização solicitou explicações quanto às diferenças apontadas na seguinte operação: - no tipo de operação 1023 - recuperação de resseguro de sinistros não pagos - judicial, entre os valores apontados no quadro estatístico 377 e no quadro 7 do fip / balancete de data-base março de 2017, em r$ 93,97, correspondente à conta contábil 119311000002 - sinistros pendentes de pagamento - jud. os questionamentos foram realizados via a requisição td susep/disol/cgfip n° 31/2017-03 (doc. sei 0167628), no seu item 3. em resposta a companhia justificou as diferenças da seguinte maneira: o valor mencionado foi contabilizado automaticamente na conta de sinistro de administrativo e considerando o processo manual de contabilização de sinistros judiciais, não houve transferência para a conta de sinistro judicial, o que gerou a diferença apontada. a fiscalização considerou que o processo de conciliação relacionado a sinistros judiciais foi falho, uma vez que o processo da companhia é criar todos os sinistros como administrativos e depois transformar os sinistros em judiciais, conforme o caso, ocasionando falha deste processo em cerca de 10% dos registros, os quais não foram detectados durante a conciliação contábil. a fiscalização considerou este fato como falha na conciliação contábil da companhia, motivando o registro nesta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quadro 6 do fip (doc. sei 0476334) - tabela comparativa - quadro 376 (doc. sei 0476350) - balancete data-base março de 2017 (doc. sei 0476808) - requisição td susep/disol/cgfip n° 31/2017-03 (doc. sei 0167628) - divergências quadros estatísticos (doc. sei 0476435) - quadro 7 do fip (doc. sei 0476447) - arquivo de registros obrigatórios sinpend.dbf do mês de março de 2017 (doc. sei 0476818) - quadro 376 do fip (doc. sei 0477128) - tabela comparativa - quadro 377 (doc. sei 0477088)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apresentar irregularidade na conciliação contábil  30/06/2017 falta apresentar irregularidade na conciliação contábil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durante o processo de fiscalização realizado na companhia, a fiscalização solicitou, via o item 3 da requisição td susep/disol/cgfip n° 31/2017-01 (doc. sei 0167351): os demonstrativos analíticos das contas (para o mês de março/2017): a) 118 e 1217 - custo de aquisição diferido; b) 1193 e 12183 - ativo de resseguro e retrocessão diferidos (ativos de resseguro - psl); c) 21611 e 22311 - provisão de prêmios não ganhos; d) 21615 e 22315 - provisão de sinistros a liquidar em resposta, a companhia disponibilizou os respectivos registros, além de planilha de conciliação com os valores sumarizados dos registros analíticos e dos saldos contábeis (doc. sei 0167371). realizando-se o exame da planilha, verificou-se que houveram diferenças entre os valores dos registros analíticos e os valores dos saldos contábeis no balancete de data-base março de 2017, conforme a tabela abaixo: conta valor reg. analíticos (r$) valor saldo contábil(r$) diferença(r$/%) dcd-vigência do risco 25.534.607,38 25.259.481,31 275.126,07 1,1% dcd-rvne 8.801.883,01 8.799.717,02 2.165,99 0,02% dcd-outros 46.615.525,85 46.558.134,92 57.390,93 0,12% ativos resseguro psl 4.536.999,53 4.536.999,30 0,23 0,00% ppng 80.185.571,42 79.702.017,73 483.553,69 0,60% psl 18.960.966,97 18.992.668,67 31.701,70 0,17% total 184.635.554,16 183.849.018,95 786.535,21 0,43% na carta de resposta à requisição (doc. sei 0167594), em seu item 3, a companhia aponta que existiram problemas de conciliação contábil durante os meses anteriores e subsequentes da data-base março de 2017, conforme descrito na resposta abaixo: de forma preliminar esta companhia informa que as diferenças a que passará a elencar, sendo estas, pontuais e isoladas, foram ocasionadas por um desarranjo sistêmico que quando identificado, durante os trabalhos de conciliação contábil à época, foram devidamente tratadas. neste sentido, com o intuito de ilustrar o acima exposto, esta companhia passa a informar também os valores referentes ao mês imediatamente anterior e o mais recente. as diferenças a que se refere a companhia podem ser acompanhadas pelo documento anexado (doc. sei 0167594), onde observa-se que as diferenças são classificadas como saldo a ser conciliado. a fiscalização solicitou explicações à companhia em relação a estas diferenças, através do item 7) da requisição td susep/disol/cgfip n° 31/2017-03 (doc. sei 0167628), conforme abaixo: em relação às diferenças apontadas entre os valores nas planilhas de conciliação de dados analíticos e os valores contabilizados, arquivo conciliação arquivos analíticos x balancete março de 2017.xlsx, enviado em resposta ao item 3 da requisição td susep/disol/cgfip n° 31/2017-02, detalhar as diferenças encontradas, explicando o processo de conciliação contábil realizado pela companhia e as tratativas para resolução das diferenças. a resposta da companhia (doc. sei 0167632) encontra-se parcialmente reproduzida abaixo: apesar dos procedimentos mencionados, entendemos que o processo de conciliação da companhia precisa ser aprimorado. para isso será implantado um novo modelo de reconciliação, onde os documentos suportes serão de responsabilidade de cada departamento interno, com a respectiva revisão e assinatura dos responsáveis, bem como com os planos de ações a serem executados, prazos e responsabilidades em caso de diferenças nas conciliações. a fiscalização entende que o processo de conciliação da companhia foi falho e que existiram valores os quais não foram conciliados pela companhia, motivando este item na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com a documentação referente à conciliação pedida à companhia pela fiscalização e as respostas às requisições feitas à companhia pela fiscalização. dispositivo legal ou infralegal supostamente infringido artigo 88 do decreto-lei 73/1966, com a redação dada pela lei complementar 126/2007, c/c caput do art. 125 e caput do art. 126 da circular susep n° 517/2015 base legal ou infralegal da penalidade aplicável art. 19 da resolução cnsp n° 243/2011. elementos materiais de prova da suposta infração - requisição td susep/disol/cgfip n° 31/17-01 (doc. sei 0167351) - resposta à requisição td susep/disol/cgfip n° 31/17-01 (doc. sei 0167594) - arquivo de conciliação contábil em resposta à requisição td susep/disol/cgfip n° 31/17-01 de março de 2017 (doc. sei 0167371) - requisição td susep/disol/cgfip n° 31/17-03 (doc. sei 0167628) - resposta à requisição td susep/disol/cgfip n° 31/17-03 (doc. sei 0167632)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0167661) - relatório de reincidências (doc. sei 0167883) não constituir / constituir inadequadamente as provisões técnicas  31/03/17 falta não constituir / constituir inadequadamente as provisões técnicas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durante o processo de fiscalização realizado na companhia, a fiscalização solicitou, via o item 3 da requisição td susep/disol/cgfip n° 31/2017-01 (doc. sei 0167351): os demonstrativos analíticos das contas (para o mês de março/2017): (...) c) 21611 e 22311 - provisão de prêmios não ganhos; d) 21615 e 22315 - provisão de sinistros a liquidar em resposta, a companhia disponibilizou os respectivos registros, além de planilha de conciliação com os valores sumarizados dos registros analíticos e dos saldos contábeis (doc. sei 0167371). realizando-se o exame da planilha, verificou-se que houveram diferenças entre os valores dos registros analíticos e os valores dos saldos contábeis no balancete de data-base março de 2017, relacionados a provisão técnica ppng, conforme a tabela abaixo: conta valor reg. analíticos (r$) valor saldo contábil(r$) diferença(r$/%) ppng 80.185.571,42 79.702.017,73 483.553,69 0,60% na carta de resposta à requisição (doc. sei 0167594), em seu item 3, a companhia aponta que existiram problemas de conciliação contábil durante os meses anteriores e subsequentes da data-base março de 2017, conforme descrito na resposta abaixo: de forma preliminar esta companhia informa que as diferenças a que passará a elencar, sendo estas, pontuais e isoladas, foram ocasionadas por um desarranjo sistêmico que quando identificado, durante os trabalhos de conciliação contábil à época, foram devidamente tratadas. neste sentido, com o intuito de ilustrar o acima exposto, esta companhia passa a informar também os valores referentes ao mês imediatamente anterior e o mais recente. as diferenças a que se refere a companhia podem ser acompanhadas pelo documento anexado (doc. sei 0167594), onde observa-se que as diferenças são classificadas como saldo a ser conciliado. a fiscalização solicitou explicações à companhia em relação a estas diferenças, através do item 7) da requisição td susep/disol/cgfip n° 31/2017-03 (doc. sei 0167628), conforme abaixo: em relação às diferenças apontadas entre os valores nas planilhas de conciliação de dados analíticos e os valores contabilizados, arquivo conciliação arquivos analíticos x balancete março de 2017.xlsx, enviado em resposta ao item 3 da requisição td susep/disol/cgfip n° 31/2017-02, detalhar as diferenças encontradas, explicando o processo de conciliação contábil realizado pela companhia e as tratativas para resolução das diferenças. a resposta da companhia (doc. sei 0167632) encontra-se parcialmente reproduzida abaixo: apesar dos procedimentos mencionados, entendemos que o processo de conciliação da companhia precisa ser aprimorado. para isso será implantado um novo modelo de reconciliação, onde os documentos suportes serão de responsabilidade de cada departamento interno, com a respectiva revisão e assinatura dos responsáveis, bem como com os planos de ações a serem executados, prazos e responsabilidades em caso de diferenças nas conciliações. além do processo de conciliação ter sido falho, observou-se que a companhia não realizou o provisionamento correto em relação à ppng, resultando em subprovisionamento no caso da ppng de r$ 483.553,69.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através do exposto no item descrição circunstanciada do fato ou do ato constitutivo da suposta infração, acima e nas documentações anexadas. dispositivo legal ou infralegal supostamente infringido artigo 88 do decreto-lei 73/1966, com a redação dada pela lei complementar 126/2007, c/c art. 7° da circular susep n° 517/2015 base legal ou infralegal da penalidade aplicável art. 45 da resolução cnsp n° 243/2011 elementos materiais de prova da suposta infração - requisição td susep/disol/cgfip n° 31/17-01 (doc. sei 0167351) - planilha de conciliação com os valores sumarizados dos registros analíticos e dos saldos contábeis (doc. sei 0167371) - carta em resposta à requisição td susep/disol/cgfip n° 31/17-01 (doc. sei 0167594) - requisição td susep/disol/cgfip n° 31/2017-03 (doc. sei 0167628) - carta em resposta à requisição td susep/disol/cgfip n° 31/2017-03 (doc. sei 0167632)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0168009) - relatório de reincidências (doc. sei 0168019) encaminhar as informações do fip/susep com incorreções  20/04/17 falta encaminhar as informações do fip/susep com incorreções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a fiscalização realizou uma amostra dos registros do quadro estatístico 378, selecionando 21 registros, com o intuito de se verificar os documentos que comprovariam as informações (doc. sei 0477161). as solicitações foram realizadas via a requisição td susep/disol/cgfip n° 31/2017-02 (doc. sei 0477169), itens 01 a 05. a fiscalização procedeu com a verificação da documentação enviada e verificou-se que na linha 22 da amostra (campo espseq = 127160), as datas nos campos espdataemissro e espdataemissrd estavam preenchidas como24/03/2017. segundo o manual de preenchimento do fip (doc. sei 0169330), para o quadro 378, os campos espdataemissro e espdataemissrd, devem estar preenchidos com a data em que o risco original foi emitido e data em que o risco derivado foi emitido, respectivamente. observando-se a documentação referente à linha citada (doc. sei 0477203), concluiu-se que a data preenchida corresponde à data de cancelamento do seguro e não a data de emissão do risco original ou derivado. a fiscalização considerou neste caso que o processo de geração de registros do quadro 378 foi falho na questão da geração de registros de cancelamento de contrato de resseguro, motivando a criação deste item na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através do exposto no item descrição circunstanciada do fato ou do ato constitutivo da suposta infração, acima e nas documentações anexadas. dispositivo legal ou infralegal supostamente infringido artigo 88 do decreto-lei 73/1966, com a redação dada pela lei complementar 126/2007, c/c o caput do art. 2º e parágrafo único do art. 5º da circular susep n° 522/2015 e manual do fip. base legal ou infralegal da penalidade aplicável art. 37 da resolução cnsp n° 243/2011 elementos materiais de prova da suposta infração - amostra quadro 378 (doc. sei 0477161) - requisição td susep/disol/cgfip n° 31/2017-02 (doc. sei 0477169) - manual de preenchimento do fip (doc. sei 0169330) - documentação referente à linha 22 da amostra do quadro 378 (doc. sei 0477203) circunstâncias que possam afetar na dosimetria e na fixação da pena, inclusive de antecedentes e processos que possam gerar a majoração da pena por reincidência para fins de fixação da pena, cumpre-se ressaltar que a sociedade não é reincidente em falta da mesma natureza, conforme relatório de reincidências em anexo. não foram encontradas situações agravantes ou atenuantes. anexos - relatório de antecedentes (doc. sei 0485914) - relatório de reincidências (doc. sei 0485916) encaminhar as informações do fip/susep com incorreções  20/04/17 falta encaminhar as informações do fip/susep com incorreções qualificação do agente supostamente responsável e, sendo o caso, do responsável solidário zurich brasil companhia de seguros (atual denominação da qbe brasil seguros s.a.) código fip 05941 cnpj 96.348.677/0001-94 end.: a. jornalista roberto marinho, 85 - 21º andar - brooklin novo - são paulo - sp - cep 04576-010 descrição circunstanciada do fato ou do ato constitutivo da suposta infração: a fiscalização realizou uma amostra dos registros do quadro estatístico 377, selecionando 21 registros, com o intuito de verificar os documentos que comprovariam as informações registradas(doc. sei 0477239, 0477246 e 0477252). as solicitações foram realizadas via a requisição td susep/disol/cgfip n° 31/2017-02 (doc. sei 0447384, 0477389, 0477392, 0477395 e 0477404) , itens 01 a 05. em resposta, a companhia providenciou as documentações solicitadas (doc. sei 0477239 , 0477246 e 0477252). dos três itens apontados com divergências, os itens 6), b), 1) e 6),b),2) foram saneados com a documentação enviada. para o item 6),b),3), verificou-se que houve erro na geração do registro no quadro estatístico, uma vez que o sistema não tratou adequadamente o de contrato de resseguro . na sua resposta ao questionamento da fiscalização, a companhia apontou que: os contratos de resseguro são cadastrados no sistema de emissão da companhia, assim, quando do registro de um sinistro, o sistema de sinistro busca no sistema de emissão a apólice relacionada e caso esta tenha um contrato de resseguro cadastrado, utiliza-se estas informações para o registro de resseguro. em 2016 para o ramo de transporte a companhia tinha um contrato de resseguro devidamente cadastrado à época e que previa somente recuperação de sinistros de excesso de responsabilidade. quando da renovação do contrato de resseguro, para o período de 2017, foi incluída a modalidade de quota-parte de 25%. em atenção ao caso em referência, após análise, verificou-se que o sistema de sinistro considerou o último contrato cadastrado, sem levar em consideração a data de ocorrência do sinistro, o que gerou a indevida recuperação registrada no q377. o problema foi iniciado no mês de março/2017, quando houve o cadastro do novo contrato de resseguro do ramo de transportes, causando assim, a indevida recuperação que totaliza aproximadamente r$ 170 mil. tendo identificado este problema, o mesmo já foi corrigido no sistema de sinistro em julho/17. ainda, este valor será regularizado contabilmente no mês de agosto/17 com os devidos reflexos nos quadros estatísticos de sinistros. no que se refere a inconsistência do código do ressegurador, informamos que iremos efetuar a recarga do quadro 377 do mês de março/17 para correção do código (vide doc. sei 0477738 resposta ao item 6),b),3)). uma vez que o sistema de sinistros estava configurado indevidamente, não levando em consideração a data de ocorrência de sinistro para contratos de resseguro os quais já existiam na base e que foram contratualmente renovados e tal fato não foi detectado pela companhia, sendo corrigido após apontamento da fiscalização, entendemos que houve falha no cadastramento do sinistro, gerando informações incorretas no fip/susep, fato que ensejou a inclusão na presente representação.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infração pode ser constatada através do exposto no item descrição circunstanciada do fato ou do ato constitutivo da suposta infração, acima e nas documentações anexadas. dispositivo legal ou infralegal supostamente infringido artigo 88 do decreto-lei 73/1966, com a redação dada pela lei complementar 126/2007, c/c o caput do art. 2º e parágrafo único do art. 5º da circular susep n° 522/2015 e manual do fip. base legal ou infralegal da penalidade aplic</t>
  </si>
  <si>
    <t xml:space="preserve">Parágrafo Único do Art. 757 do Código Civil c/c Arts. 24 e 113 do Decreto-Lei n° 73/1966_x000D_
_x000D_
</t>
  </si>
  <si>
    <t xml:space="preserve"> 15/12/2011 - data de aprovação do estatuto ) (doc sei ( 0261035) ( fls.106) falta: realizar operação de seguro, cosseguro, resseguro ou capitalização sem a devida autorização, no país ou no exterior. qualificação do agente supostamente responsável e, sendo o caso, do responsável solidário: clubcar - clube de benefício dos proprietários de carros automotivos - agente responsável cnpj nº 13.176.819/0001-56 avenida jose faria da rocha 4075 apto 01 - bairro eldorado contagem - mg - cep: 32.310-210 wemerson de souza da silva - agente responsavel solidário cpf nº 013.450.096-23 rua 1 nº 340 apto 401 - inconfidentes - contagem-mg cep 32.265-110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3)parecer eletronico susep/dicon/cgcof/coate nº 49/2018 ( 0345257)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doc sei 0261035 : 1)manifestação da clubcar ( fls.152/177); 2)assembleia geral ordinaria e extraordinaria (fls. 131/143); 3)estatuto social (fls. 101/106).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doc sei nº 0346436 atenciosamente,</t>
  </si>
  <si>
    <t>01 - Art. 4, Inc. IV, da Circ. SUSEP 320/06.</t>
  </si>
  <si>
    <t xml:space="preserve"> assunto: assistência financeira (empréstimo)/negativa de fornecimento do saldo devedor descrição dos fatos: prezados, em 27/10/2017, edson cesar celebrou contrato de assistência financeira (contrato nº 3541975) com a sabemi s.a. (matrícula nº 13997081), com prestação no valor de r$ 2.508,20, em 96 prestações, sendo o 1º vencimento em 01/11/2017 e o último vencimento em 01/10/2025.edson cesar entrou em contato com a sabemi s.a. por intermédio do serviço de atendimento ao cliente 4003 1415 (capitais e regiões metropolitanas), ocasião em que registrou por 02 (duas) vezes a solicitação de envio da cópia do contrato assinada pelo consignante.a primeira solicitação, ocorrida no dia 13/04/2018, está registrada no protocolo de atendimento nº 10738744, a segunda solicitação, ocorrida no dia 04/05/2018, está registrada no protocolo de atendimento nº 10925107, e a terceira solicitação, ocorrida no dia 25/05/2018, está registrada no protocolo de atendimento nº 110083554.contudo, desde então, a sabemi s.a. nega o envio do referido contrato, encaminhando, tão somente, espelho do mesmo, no qual não consta o valor total do empréstimo contratado, cláusulas contratuais, assinatura do consignatário e etc. depreende-se dos áudios oriundos dos protocolos de atendimento que edson cesar frisa, mais de uma vez, que não deseja receber tal espelho, mas sim, a cópia do contrato assinado. importante explicar que, da mesma forma que a sabemi está autorizada a conceder assistência financeira a seus participantes, na forma da circular susep nº 320/2006 e regulamentações posteriores, também está obrigada a enviar a cópia do contrato firmado entre as partes, quando solicitado.assim, diante das frustradas tentativas administrativas de solicitação da cópia do contrato firmado entre as partes e evidente violação do direito do consumidor, ,solicitamos que sejam tomadas providências com relação a conduta abusiva da sabemi s.a., considerando a consolidada jurisprudência dos tribunais favoráveis aos consumidores que realizam o procedimento administrativo ditado pela instituição e, abusivamente, são restringidos os direitos que lhe são assegurados pelo código de defesa do consumidor.atenciosamente,edson cesar sim o sac da empresa foi acionado? </t>
  </si>
  <si>
    <t>Não guardar documentos obrigatórios pelo prazo estabelecido.</t>
  </si>
  <si>
    <t>Art. 88 do Dereto-Lei 73/66, com redação dada pela Lei Complementar 126/07, c/c Inc. II do Artigo 2º, Artigo 5º e Artigo 9º da Circ. SUSEP 74/99.</t>
  </si>
  <si>
    <t xml:space="preserve"> 18/07/2016( fls. 8 de documento 0112908, onde a seguradora afirma não ter o certificado individual solicitado) falta: não guardar documentos obrigatórios pelo prazo estabelecido. conduta prevista no anexo i da resolução cnsp n°331/2015. conduta 56. qualificação do agente supostamente responsável e, sendo o caso, do responsável solidário: mapfre vida s.a. cnpj 54.484.753/0001-49 av. das nações, 11.711, 21º andar, brooklin cep 04578-000 são paulo - sp descrição circunstanciada do fato ou do ato constitutivo da suposta infração: durante a análise do processo acima referenciado, a seguradora manifestou-se afirmando que não possui o certificado individual solicitado, saber: em nome de edio correa, cujo falecimento ocorreu em 26/01/2016. dessa forma, fica claro que a companhia não procedeu à guarda dos documentos conforme estabelecido na circular susep 74/199: art. 2° para fins do disposto nesta circular, consideram-se documentos relativos a contratos firmados: ... ii - relativos a contratos de seguros: proposta; cartão-proposta; declaração de saúde; apólice; bilhete; certificado de seguro; condições gerais, especiais e particulares; aditivos e endossos contratuais; aviso de sinistro e seus respectivos documentos comprobatórios; correspondências entre as partes do contrato e, no caso de contratos de seguro de vida, também os documentos relativos a: ... art. 5° o prazo mínimo para guarda de documentos originais de contratos de seguros de pessoas, de responsabilidades e aqueles cujo beneficiário não seja o próprio segurado, é de, no mínimo, vinte anos, contados a partir do término de vigência do contrato. ... art. 9° as sociedades seguradoras, as entidades abertas de previdência privada, as sociedades de capitalização e as corretoras de seguros, previdência privada aberta e capitalização deverão manter em seus arquivos, pelos prazos definidos nesta circular, os originais ou cópias microfilmadas dos documentos relativos aos contratos firmados em decorrência de suas operações.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 materialidade da suposta infração está detalhada no item “descrição circunstanciada do fato ou do ato constitutivo da suposta infração”. dispositivo legal ou infralegal supostamente infringido: artigo 88 do decreto-lei nº 73/1966, com redação dada pela lei complementar nº 126/2007, c/c inciso ii do artigo 2º, artigo 5º e artigo 9º da circular susep nº 74/1999. base legal ou infralegal da penalidade aplicável: artigo 70 da resolução cnsp nº 243/2011. elementos materiais de prova da suposta infração: - documento 0112598 (denúncia); - documento 0112608 (resposta da companhia). circunstâncias que possam afetar na dosimetria e na fixação da pena, inclusive de antecedentes e processos que possam gerar a majoração da pena por reincidência: para fins de dosimetria da pena, observa-se: não foram constatadas circunstâncias agravantes, nos termos do artigo 11 da resolução cnsp nº 243/2011; não foram constatadas circunstâncias atenuantes, nos termos do artigo 12 da resolução cnsp nº 243/2011; foi constatada 1 reincidência, nos termos do artigo 14 da resolução cnsp nº 243/2011. fixação da multa-base provisória: sendo reincidente, a multa-base provisória foi fixada como o dobro da cominação mínima prevista para a infração, e, na hipótese do seu pagamento dentro do prazo, o denunciado terá direito ainda ao desconto previsto no artigo 4º da resolução cnsp 331/2015. anexos documento 0134030</t>
  </si>
  <si>
    <t>Não atender, no prazo e na forma fixada, às solicitações da autarquia, impedindo ou dificultando o exercício do poder de polícia administrativa da susep</t>
  </si>
  <si>
    <t>01 - §3 do Art. 3 da Circ. SUSEP 473 de 22.08.2013, c/c Inc. II do Art. 38 da Res. CNSP 243 de 06.12.2011</t>
  </si>
  <si>
    <t xml:space="preserve"> 24.10.2016, primeiro dia útil subsequente ao último dia do prazo para atendimento da obrigação falta: não atender, no prazo e na forma fixada, às solicitações da autarquia, impedindo ou dificultando o exercício do poder de polícia administrativa da susep qualificação do agente supostamente responsável e, sendo o caso, do responsável solidário: cardif do brasil vida e previdência s/a cnpj: 03.546.261/0001-08 código fip: 06548 endereço: rua campos bicudo, 98, 4º andar - itaim bibi são paulo - cep: 04536010 descrição circunstanciada do fato ou do ato constitutivo da suposta infração: em 10.10.2016 o grupo de trabalho instituído pela portaria susep n° 6.640 de 05.09.2016 solicitou informações, por meio do sítio eletrônico da susep na internet, disponibilizados na subseção “documentos para o mercado”, na seção “informações ao mercado”, conforme circular susep n° 473 de 22.08.2013, para todas as seguradoras consorciadas que integram o sistema do seguro dpvat tendo 17.10.2016 como data limite para o atendimento (docs. 0033210 e 0033212). em 11.10.2016 o grupo de trabalho prorrogou, pelo mesmo canal supracitado, o prazo colocando o dia 21.10.2016 como data limite para o atendimento (docs. 0033211 e 0033213). até a presente data, a cardif do brasil vida e previdência s/a não atendeu a solicitação.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 3° do art. 3° da circular susep n° 473 de 22.08.2013, c/c inciso ii do art. 38 da resolução cnsp n° 243 de 06.12.2011 base legal ou infralegal da penalidade aplicável: inciso ii do art. 38 da resolução cnsp n° 243 de 06.12.2011 elementos materiais de prova da suposta infração: - ofício n° susep/gt/portaria6640/n° 02/2016; e - ofício n° susep/gt/portaria6640/n° 02/2016 - prorrogação do prazo. circunstâncias que possam afetar na dosimetria e na fixação da pena, inclusive de antecedentes e processos que possam gerar a majoração da pena por reincidência: não foram encontradas reincidências, circunstâncias agravantes e atenuantes, e outras circunstâncias que possam afetar na dosimetria e na fixação da pena, inclusive de antecedentes e processos que possam gerar a majoração da pena por reincidência. anexos - ofício susep/gt/portaria6640/n° 02/2016 (0033210) - anexo relatório docs mercado ofício (0033212) - ofício susep/gt/portaria6640/n° 02/2016 - prorrogação (0033211) - anexo docs mercado prorrogação (0033213) - anexo relatório de reincidências (0033214) </t>
  </si>
  <si>
    <t>01 - Art. 23 da Circ. SUSEP 510/15</t>
  </si>
  <si>
    <t>solicitação sexta-feira, 22 de junho de 2018 15:11 dados da solicitação protocolo: 4103074/2018 situação: em aberto assunto: denúncia/corretores/outros denunciado: lpx corretora de seguros ltda via: pessoal data: 22/06/2018 o reclamante apresenta denúncia referente à realização de plano de saúde texto: em seu nome e sem a sua anuência. dados do interessado segurado: soares miranda representações cpf/cnpj: 00.774.969/0001-10 uf: rio de janeiro dados de contato e-mail: anjos.1963@yahoo.com.br endereço: rua heraclito graça 122/102 cep: 20.725-080 bairro: lins e vasconcelos cidade: rio de janeiro susep, em 22/06/2018 interessado: ________________________________________________ atendente: ________________________________________________ newton marques matrícula siape: 11 - susep :: cgeti</t>
  </si>
  <si>
    <t>04 - Art. 25 da Res. CNSP 321/15 c/c Art. 28 e 125 da Circ. SUSEP 517/15</t>
  </si>
  <si>
    <t xml:space="preserve"> 31/05/2016, último dia do mês base da escrituração do balancete de maio/2016. ressalte-se que, a juízo autoridade julgadora, as infrações aqui descritas poderão ser consideradas de forma autônoma para fins de aplicação de penalidade. falta: direitos creditórios em garantia das provisões técnicas em desacordo com as normas. qualificação do agente supostamente responsável: munich re do brasil resseguradora s.a. cnpj nº 01.857.539/0001-24 código susep nº 3772-9 av. brigadeiro faria lima, nº 4440, 6º andar cep 04538-132 – são paulo/sp descrição circunstanciada do fato ou do ato constitutivo da suposta infração: por meio do ofício 18/16-01, solicitamos planilha de cálculo com a demonstração dos direitos creditórios oferecidos como redutores da necessidade de coberturas das provisões técnicas na data-base de 31/05/2016. a empresa encaminhou planilha com montante de dc totalizando r$ 91.477.542. com relação à planilha encaminhada, identificamos registros relativos a parcelas de prêmio vencidas ou relativos a riscos já decorridos. dessa forma, solicitamos esclarecimentos sobre a utilização dessas parcelas como direitos creditórios, tendo em vista o que dispõe o § 1º do art. 60 da circular susep nº 517/2015. a companhia informou que, para alguns desses casos, as inconsistências identificadas consistiam em valores residuais no cálculo da oscilação cambial sobre a ppng. considerando que estes riscos já se encontravam expirados, observou-se inadequação do oferecimento de direitos creditórios sobre estas parcelas. com relação à amostra que consta no item 3 do ofício 18/2016-06, temos o seguinte ajuste: contrato dc oferecido dc correto 120140130386580190 r$ 46.132,38 r$ 0,00 120140130386580241 r$ 19.630,67 r$ 0,00 soma r$ 65.763,05 todavia, esta inconsistência não afetou negativamente a cobertura de reservas técnicas, posto que, segundo informações da fiscalizada, nestes casos de oferecimento inadequado de dc sobre valores residuais de oscilação cambial em riscos já expirados, também se verificou a existência de saldos remanescentes de ppng, que já deveriam estar apropriadas ao resultado. assim, observou-se irregularidade no que concerne ao oferecimento como direitos creditórios de parcelas relativas a valores residuais de oscilação cambial de riscos já expirados.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responsável da suposta infração. com efeito, o que se observa é que a infração tem o envolvimento de vários profissionais do quadro funcional da sociedade, de distintos níveis hierárquicos, pertencentes principalmente às áreas contábil, de ti, atuarial e operacional. a materialidade da suposta infração está detalhada no item “descrição circunstanciada do fato ou do ato constitutivo da suposta infração”. dispositivo legal ou infralegal supostamente infringido: § 1º do art. 60 da circular susep 517/2015. base legal ou infralegal da penalidade aplicável: art. 45 da resolução cnsp nº 243/2011. elementos materiais de prova da suposta infração: ofício 18/16-01 (dc.29537) ofício 18/2016-06 (dc.29546) resposta ao ofício 18/2016-06 (dc.29549) circunstâncias que possam afetar na dosimetria e na fixação da pena, inclusive de antecedentes e processos que possam gerar a majoração da pena por reincidência: o fato prejudicou a análise do montante correto de direitos creditórios na data-base de maio/2016. todavia, não obstante ter havido o oferecimento irregular de direitos creditórios redutores da necessidade de constituição de ativos garantidores, nos casos constatados não houve prejuízo à cobertura das provisões, uma vez que também se constatou a existência – irregular – de ppng sobre riscos já expirados. não foram constatadas circunstâncias agravantes ou atenuantes, nos termos dos artigos 11 e 12 da resolução cnsp nº 243/2011. para fins de fixação da pena, cumpre-se ressaltar que a sociedade não é reincidente em falta da mesma natureza, conforme relatório de reincidências em anexo. anexos relatório de reincidências (dc.29710) </t>
  </si>
  <si>
    <t>Não zelar pela qualidade do sistema de controles internos</t>
  </si>
  <si>
    <t>01a 05 -  Art. 88 Decreto-Lei 73/66, LC126/07 c/c Art. 6 da Circ. SUSEP 340/07 c/c Art. 1 e 10 da Circ. SUSEP 249/04, alt. Circ. SUSEP 363/08</t>
  </si>
  <si>
    <t xml:space="preserve">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nos procedimentos de registro, controle e contabilização dos ativos intangíveis ao verificar a consistência e integralidade dos valores escriturados (td.ace.con.01) (doc sei 0119833, 0119834, 0119835, 0119836 e 0119837). de forma resumida, naquela ocasião recomendou-se que a seguradora revisitasse seus critérios de classificação e escrituração de ativos intangíveis à luz da legislação vigente. detectou-se valores que já deveriam ter sido baixados na data-base da inspeção considerando o status de run-off de alguns produtos, outros que não preenchiam os requisitos mínimos para que fossem considerados ativos intangíveis, registros de gastos com serviço de marketing que deveriam ser considerados como despesa, ausência de estudo no sentido de estabelecer taxa de efetividade de custos com vendas realmente concretizadas, etc. em resposta ao ofício susep/cgfis/cosu1/nº 39/14-19, exordial do processo susep 15414.100359/2014-03, a ace seguradora s.a. apresentou sua primeira manifestação, em novembro/2014, no sentido de impugnar o apontamento da deficiência em tela ao se limitar a informar que, após análise da base de ativos intangíveis, alguns casos foram baixados em consequência da aplicação do teste de impairment, mas não por falha na contabilização, e que, para os casos remanescentes, buscou apenas explicar os controles internos existentes e as taxas de efetividade aplicáveis para mantê-los como ativos intangíveis. diante destas considerações, a equipe de fiscalização emitiu o parecer susep/difis/cgfis/cosu1/disu2 nº 1/2015 em que opinou pela improcedência dos argumentos trazidos pela companhia seguradora ao reforçar que o registro e manutenção de determinado ativo como intangível requer o efetivo atendimento a todos os requisitos previstos na legislação de regência, notadamente àqueles indicados como ausentes na análise realizada pela equipe de fiscalização. diante do indeferimento acima exposto, a sociedade seguradora foi instada, através do ofício susep/difis/cgfis nº 32/2015 a apresentar seus planos de ação efetivos referentes às deficiências detectadas. em retorno, a fiscalizada informou que, a partir de junho de 2015, passou a tratar como custo de aquisição as remunerações devidas por vendas efetivadas pelos canais de televendas, em consonância com as orientações ao mercado emitidas pela susep; além disso, comprometeu-se a reconhecer, como despesa no resultado, os custos diferidos correspondentes a vendas canceladas, bem como a proceder a revisão do prazo médio de persistência da carteira. no entanto, com relação aos valores referentes a software, a seguradora manteve a impugnação da deficiência ao alegar fundamento no cpc nº 04. resumidamente, os fiscais responsáveis pelo trabalho in loco, conforme o parecer susep/difis/cgfis/cfis1/disp1 nº 39/2016, manifestaram-se contrários, especialmente sobre os ativos intangíveis relativos a software, ao quanto sustentado nessa nova impugnação; recomendou-se também que o ponto de deficiência fosse objeto de futura verificação em inspeção de retorno, com designação de equipe reforçada e com prazo de duração dilatado. desta forma, em 20/06/2016, conforme despacho do coordenador do erssp, propôs-se que a sociedade seguradora fosse comunicada do indeferimento dos argumentos apresentados a respeito da deficiência em tela, sendo desnecessária a notificação para apresentação de nova manifestação pela fiscalizada uma vez que já haviam sido apresentadas duas contestações. por fim, em resposta ao ofício susep/erssp/dfip1 nº 01/2016 protocolada na susep em 31/08/2016, conforme relatório exarado pela auditoria interna da ace seguradora s.a., concluiu-se que o respectivo plano de ação para saneamento das deficiências apontadas não havia sido implementado em sua totalidade, nos seguintes termos: “a companhia reclassificou os saldos relacionados a solicitation cost para a conta de custos de aquisição diferidos e realizou o cálculo da permanência média na carteira. com o intuito de manter o tratamento contábil, a companhia apresentou argumentos baseados nas normas contábeis vigentes no brasil, porém, tais argumentos foram considerados improcedentes pela susep nas duas respostas encaminhadas por eles, a primeira em 25 de agosto de 2015, e posteriormente em 30 de junho de 2016. baseado nas evidências obtidas, concluímos que o plano de ação estabelecido não foi implementado em sua totalidade. faremos um acompanhamento em fevereiro de 2017.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causam, eventualmente, distorções na apuração do patrimônio líquido ajustado.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2. não cumprir o plano de ação relativo ao item td.ace.con.02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 gerenciamento jurídico no que tange ao registro, ao acompanhamento e à baixa das ações judiciais com eventuais reflexos sobre a constituição de provisões técnicas e de provisões contábeis para contingências judiciais em geral (td.ace.con.02) (doc sei 0119833, 0119834, 0119835, 0119836 e 0119837). de forma resumida, naquela ocasião recomendou-se que a seguradora implantasse plano de ação adequado e abrangente em virtude da dificuldade demonstrada em apresentar relação integral e correta de todas as ações judiciais envolvendo a seguradora em curso na data-base de 30 de abril de 2014 relacionadas a sinistros, contingências cíveis em geral, tributárias e trabalhistas. de fato, a despeito do quanto requisitado pela fiscalização, foi detectada no curso da inspeção a existência de diversas ações judiciais em curso na mencionada data-base sem qualquer registro na base da companhia. em resposta ao ofício susep/cgfis/cosu1/nº 39/14-19, exordial do processo susep 15414.100359/2014-03, a ace seguradora s.a. apresentou sua primeira manifestação, em novembro/2014, no sentido de impugnar o apontamento da deficiência em tela ao se limitar a fazer referência aos argumentos apresentados na defesa do auto de infração susep/difis/cgfis/cosu1 nº 25/2014, exordial do processo susep nº 15414.100358/2014-51, bem como a apenas informar que continua reforçando seus procedimentos trimestrais de circularização com os consultores jurídicos externos, ressaltando ainda que constitui provisão de ibner para suprir eventual insuficiência da psl. diante destas considerações, a equipe de fiscalização emitiu o parecer susep/difis/cgfis/cosu1/disu2 nº 1/2015 em que destacou que a deficiência em tela guarda estreita relação com outras fragilidades observadas nos procedimentos de registro, controle e contabilização dos bloqueios e depósitos judiciais (td.ace.con.03 e td.ace.con.04), para as quais inclusive houve apresentação, pela seguradora, de planos de ação para saneamento das deficiências indicadas, com destaque e menção expressa a ações de melhoria no gerenciamento jurídico (criação de célula jurídica, revisão dos processos internos da área de sinistros judiciais no que tange à distribuição de ações judiciais para os escritórios externos, etc.). diante do indeferimento acima exposto, a sociedade seguradora foi instada, através do ofício susep/difis/cgfis nº 32/2015, a apresentar seus planos de ação efetivos referentes às deficiências detectadas. em retorno, a fiscalizada informou que, a partir de outubro de 2014, o setor jurídico passou a ser constituído de duas gerências (jurídico de sinistros e jurídico corporativo), que adotou fluxo operacional para melhor controle das ações judiciais, bem como o desenvolvimento de sistema jurídico próprio denominado “ace legal”, com previsão de conclusão e interligação ao sistema financeiro corporativo para o primeiro semestre de 2016. resumidamente, os fiscais responsáveis pelo trabalho in loco, conforme o parecer susep/difis/cgfis/cfis1/disp1 nº 39/2016, manifestaram-se favoráveis à concessão do prazo para saneamento das deficiências, objeto de posterior verificação em inspeção de retorno. desta forma, em 20/06/2016, conforme despacho do coordenador do erssp, propôs-se que a sociedade seguradora fosse comunicada da concessão do prazo requerido para a resolução das fragilidades de controle, muito embora este já se encontrasse expirado. por fim, em resposta ao ofício susep/erssp/dfip1 nº 01/2016 protocolada na susep em 31/08/2016, conforme relatório exarado pela auditoria interna da ace seguradora s.a., concluiu-se que o respectivo plano de ação para saneamento das deficiências apontadas não havia sido implementado em sua totalidade, nos seguintes termos: “verificamos que o fluxo de trabalho determinado no plano de ação está em funcionamento. o cálculo da correção monetária e dos juros é feito todos os meses de forma manual pela contabilidade, contudo, não há controle de encerramento de provisões judiciais. a implantação do sistema “ace legal” sofreu diversos adiamentos devido a problemas encontrados na fase de homologação. atualmente, o mesmo ainda não está finalizado, e por isso o gerenciamento das ações relacionadas a sinistros continua sendo feito através de planilhas atualizadas com as informações do psl online. as áreas responsáveis pelo sistema estabeleceram um novo cronograma. baseado nas evidências obtidas, concluímos que o plano de ação estabelecido não foi implementado em sua totalidade. faremos um acompanhamento em fevereiro de 2017.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subestimam valores registrados em seu passivo, causando, eventualmente, distorções na apuração do patrimônio líquido.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3. não cumprir o plano de ação relativo ao item td.ace.con.03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nos procedimentos de registro, controle e contabilização dos bloqueios judiciais efetuados nas contas correntes bancárias (td.ace.con.03) (doc sei 0119833, 0119834, 0119835, 0119836 e 0119837). de forma resumida, naquela ocasião recomendou-se que a seguradora implantasse plano de ação adequado e abrangente em virtude das evidências de manutenção indevida de ativo referente a bloqueio judicial de ações judiciais já encerradas à data-base de abril de 2014, havendo inclusive registro de alguns processos judiciais já incinerados. a despeito da execução de uma força-tarefa por parte da fiscalizada para revisão dos valores escriturados, durante o período in-loco, a relevante parcela de quase 60% do saldo total de r$6.198 mil apresentado pela conta contábil de bloqueio judicial na data-base de abril de 2014 permanecia ainda com alguma dúvida a respeito de sua real existência como ativo. em resposta ao ofício susep/cgfis/cosu1/nº 39/14-19, exordial do processo susep 15414.100359/2014-03, a ace seguradora s.a. apresentou sua primeira manifestação, em novembro/2014, no sentido de propor plano de ação para correção das deficiências observadas contendo como proposta: 1) a criação de célula jurídica responsável pelo acompanhamento dos sinistros judicias de todas as linhas de negócio; 2) revisão constante dos processos internos da área de sinistros judiciais no que tange à distribuição de ações judiciais para os escritórios externos, ao registro nos controles corporativos dessas ações judiciais, à constituição das respectivas provisões técnicas e ao encerramento dos processos judiciais; 3) implementação de processo trimestral de circularização de informações; 4) implantação de processo de reciclagem das políticas de tratamento dos sinistros judiciais junto aos escritórios externos, etc.. diante destas considerações, a equipe de fiscalização emitiu o parecer susep/difis/cgfis/cosu1/disu2 nº 1/2015 em que, considerando-se o teor da manifestação apresentada pela seguradora, bem como a natureza e extensão das ações por ela propostas para sanear a deficiência em tela, manifestou-se favorável à aprovação dos planos de ação implantados segundo o quanto relatado, objeto de posterior verificação em inspeção de retorno. a sociedade seguradora foi informada do deferimento acima exposto através do ofício susep/difis/cgfis nº 32/2015. por fim, em resposta ao ofício susep/erssp/dfip1 nº 01/2016 protocolada na susep em 31/08/2016, conforme relatório exarado pela auditoria interna da ace seguradora s.a., concluiu-se que o respectivo plano de ação para saneamento das deficiências apontadas não havia sido implementado em sua totalidade, nos seguintes termos: “verificamos que a conta contábil esta devidamente suportada na discriminação analítica dos bloqueios judiciais pertinentes. no entanto, a empresa precisa implementar controles para confirmar que todos os bloqueios judiciais efetuados estão sendo registrados. baseado nas evidências obtidas, concluímos que o plano de ação não foi implementado em sua totalidade. faremos um acompanhamento em fevereiro de 2017.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aumentam indevidamente o valor registrado em seu ativo, causando, eventualmente, distorções na apuração do patrimônio líquido.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4. não cumprir o plano de ação relativo ao item td.ace.con.04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 companhia seguradora, nos meses de julho e agosto de 2014, com foco contábil, os fiscais detectaram à época fragilidades nos procedimentos de registro, controle e contabilização dos depósitos judiciais (td.ace.con.04) (doc sei 0119833, 0119834, 0119835, 0119836 e 0119837). de forma resumida, naquela ocasião recomendou-se que a seguradora implantasse plano de ação adequado e abrangente em função de, a despeito da identificação de diversos depósitos judicias nos arquivos fornecidos pela companhia seguradora contendo a relação completa das ações judiciais em curso em 04/2014, relacionadas a sinistros, contingências cíveis em geral, tributárias e trabalhistas, as contas contábeis 1147 e 12135, atinentes aos depósitos judiciais, não apresentavam saldo na data-base de abril de 2014. em resposta ao ofício susep/cgfis/cosu1/nº 39/14-19, exordial do processo susep 15414.100359/2014-03, a ace seguradora s.a. apresentou sua primeira manifestação, em novembro/2014, no sentido de propor plano de ação para correção das deficiências observadas contendo como proposta: 1) a criação de célula jurídica responsável pelo acompanhamento dos sinistros judicias de todas as linhas de negócio; 2) efetivação de contato com a caixa econômica federal e com o banco do brasil com intuito de obter informações atualizadas sobre depósitos judiciais mantidos em contas bancárias nessas instituições financeiras; 3) revisão constante dos processos internos da área de sinistros judiciais no que tange à distribuição de ações judiciais para os escritórios externos, ao registro nos controles corporativos dessas ações judiciais, à constituição das respectivas provisões técnicas e ao encerramento dos processos judiciais; 4) ) implantação de processo de reciclagem das políticas de tratamento dos sinistros judiciais junto aos escritórios externos, etc.. diante destas considerações, a equipe de fiscalização emitiu o parecer susep/difis/cgfis/cosu1/disu2 nº 1/2015 em que, considerando-se o teor da manifestação apresentada pela seguradora, bem como a natureza e extensão das ações por ela propostas para sanear a deficiência em tela, manifestou-se favorável à aprovação dos planos de ação implantados segundo o quanto relatado, exceto pelo prazo requerido que deveria se limitar ao regulamentar de noventa dias, objeto de posterior verificação em inspeção de retorno. a sociedade seguradora foi informada do deferimento acima exposto através do ofício susep/difis/cgfis nº 32/2015. por fim, em resposta ao ofício susep/erssp/dfip1 nº 01/2016 protocolada na susep em 31/08/2016, conforme relatório exarado pela auditoria interna da ace seguradora s.a., concluiu-se, em apertada síntese, que o respectivo plano de ação para saneamento das deficiências apontadas não havia sido implementado em sua totalidade, nos seguintes termos: “a contabilidade tem tomado ações para identificar os valores contabilizados nas respectivas contas e efetuar reclassificações conforme necessário, porém, verificamos que ainda há saldos por identificar e por isso o plano de ação não foi totalmente implementado. ” a inspeção realizada conforme o termo de designação susep/disol/cgfip/n.º 05/2017 motivou-se pelo prosseguimento de fiscalização de follow-up da referida tabela de deficiências. em face da admissão de não saneamento das fragilidades, a despeito de outros ajustes realizados e das ações que estão atualmente sendo implantadas pela fiscalizada, pode-se afirmar que a deficiência não se encontrava saneada à época da fiscalização de fup. análise de autoria e materialidade da suposta infração: em vista da resposta da seguradora ao ofício nº 6/2017/susep/erssp/dfip1 (doc sei 0119832), os diretores marcelo cesaro, angel ignacio diaz millán e paulo manoel pinto pereira devem figurar como agentes responsáveis pela ocorrência, em tese, da referida infração em virtude da culpa na modalidade negligência considerando a autonomia, o poder de decisão e a responsabilidade de que dispunham na execução, controle e implementação do plano de ação sob exame. por sua vez, em vista da natureza da irregularidade pode-se atribuir também à seguradora responsabilidade objetiva pela ocorrência, em tese, da referida infração. a materialidade da infração está demonstrada na resposta ao ofício susep/erssp/dfip1 nº 01/2016 protocolada na susep em 31/08/2016, especialmente no relatório exarado pela auditoria interna da ace seguradora s.a, anexo à referida resposta. dispositivo legal ou infralegal supostamente infringido: art. 88 do decreto-lei n° 73/1966, sob a redação dada pela lei complementar nº 126/07, c/c artigo 6º da circular susep nº 340/2007 c/c artigos 1º e 10 da circular susep nº 249/2004, sob a redação alterada pela circular susep nº 363/2008. base legal ou infralegal da penalidade aplicável: inciso iii do artigo 40 da resolução cnsp nº 243/2011. elementos materiais de prova da suposta infração: doc. sei 0119831. circunstâncias que possam afetar na dosimetria e na fixação da pena, inclusive de antecedentes e processos que possam gerar a majoração da pena por reincidência: as incorreções observadas podem acarretar prejuízos à correta análise econômica da companhia uma vez que causam, eventualmente, distorções na apuração do patrimônio líquido. conforme relatórios de reincidências (doc. sei 0119841, 0119853, 0119855 e 0119856), não há registro de cometimento da falta apontada. como subsídio à avaliação da dosimetria, foram extraídos também os relatórios de antecedentes (doc. sei 0119840, 0119852, 0119854 e 0119857). não foram constatadas circunstâncias atenuantes nos termos do artigo 12 da resolução cnsp n.º 243/2011. em virtude da resposta ao ofício susep/erssp/dfip1 nº 01/2016 com o envio do relatório exarado pela auditoria interna da ace seguradora s.a, de 28/08/2016 (doc sei 0119832), resta caracterizada a circunstância agravante prevista no inciso iii do artigo 11 da resolução cnsp n.º 243/2011, uma vez que, mesmo após o transcurso do prazo do plano de ação, não foram adotadas providências para mitigar os efeitos dessa infração. anexos relatórios de reincidências (doc. sei 0119841, 0119853, 0119855 e 0119856) relatórios de antecedentes (doc. sei 0119840, 0119852, 0119854 e 0119857) 5. não cumprir o plano de ação relativo ao item td.ace.con.05 da tabela de deficiências consignada no ofício susep/cgfis/cosu1/nº 39/14-19.   31/08/2016 falta: não cumprir plano de ação. qualificação do agente supostamente responsável e, sendo o caso, do responsável solidário: marcelo cesaro, cpf nº 146.720.168-54, com endereço na avenida das nações unidas, nº 8.501, 28º andar, são paulo (sp), cep: 05425-070. angel ignacio diaz millan, cpf nº 236.451.608-09, com endereço na avenida das nações unidas, nº 8.501, 28º andar, são paulo (sp), cep: 05425-070. paulo manuel pinto pereira, cpf nº 043.361.928-71, com endereço na avenida das nações unidas, nº 8.501, 28º andar, são paulo (sp), cep: 05425-070. ace seguradora s.a., cnpj nº 03.502.099/0001-18, av. rebouças, nº 3.970 – 25º, 26º, 27º e 28º andar - são paulo – sp – cep: 05401-450 descrição circunstanciada do fato ou do ato constitutivo da suposta infração: durante trabalho de fiscalização na sede da</t>
  </si>
  <si>
    <t>Enviar com atraso as informações do fip/susep.</t>
  </si>
  <si>
    <t>01 - Art. 110 da Circ. SUSEP 517 de 30/07/15, c/c Art. 36 e 88 do DecretoLei 73 de 21/11/66 .</t>
  </si>
  <si>
    <t xml:space="preserve"> 22/11/2016 falta: enviar com atraso as informações do fipsusep. qualificação do agente supostamente responsável e, sendo o caso, do responsável solidário: icatu seguros s.a - cnpj nº 42.283.770/0001-39 descrição circunstanciada do fato ou do ato constitutivo da suposta infração: a sociedade não encaminhou dentro do prazo definido em norma, o fip cujo mês de referência é outubro/2016. análise de autoria e materialidade da suposta infração: tendo em vista que após a análise dos fatos, informações e documentos acostados ao processo, não foi possível identificar a pessoa natural responsável pela conduta identificada como ilícito administrativo, considera-se a sociedade a autora da suposta infração. a data-limite para transmissão foi 21/11/2016, mas a entidade transmitiu sua primeira carga válida em 22/11/2016, tendo assim prejudicado o trabalho de fiscalização indireta realizado pela susep. dispositivo legal ou infralegal supostamente infringido: artigo 110 da circular susep nº 517 de 30 de julho de 2015, combinado com os artigos 36 e 88 do decreto-lei nº 73 de 21 de novembro de 1966. base legal ou infralegal da penalidade aplicável: artigo 37 da resolução cnsp no 243/2011. elementos materiais de prova da suposta infração: relatório de inadimpllência de entrega do fip e demonstração de impacto nas atividades de regulação setorial na ci susep/ditec/ cgsoa nº 40/16 . circunstâncias que possam afetar na dosimetria e na fixação da pena: para fins de fixação da pena, cumpre-se ressaltar que a sociedade não é reincidente, em falta da mesma natureza, conforme relatório de reincidências em anexo. fixação da multa-base provisória: não sendo reincidente, a multa-base provisória corresponderá à cominação mínima prevista para a infração, e na hipótese do pagamento dentro do prazo, a representada terá direito ainda ao desconto de 40% conforme artigos 4º e 5º da resolução cnsp 331/2015, respeitados os valores mínimos definidos em norma. anexos relatório de reincidências ; relatório de atrasos fip/susep; ci susep/ ditec /cgsoa nº 40/16 e gru </t>
  </si>
  <si>
    <t>02 - Art. 49 da Res. CNSP 243/11 c/c Alínea "c" do Inc. X do Art. 9º c/c Alínea "a" do Inc. IV do Art. 3º da Res. CNSP 226/2010</t>
  </si>
  <si>
    <t xml:space="preserve"> 31/07/2013 (última data de pagamento de obrigações financeiras registrado no razão da conta contábil n° 1.2.1.3.1.1.0009). falta: atuar em desacordo com as normas legais ou de regulação que disciplinam as operações e as atividades de previdência complementar. qualificação do agente supostamente responsável e, sendo o caso, do responsável solidário srs. salvador lapis junior, cpf nº 053.391.890-15, situado na rua pereira passos, 415. bairro vila assunção, cep 91090-240, porto alegre/rs e nelson wedekin, cpf nº 384.144.498-91, situado na rodovia joão paulo, 2163, saco grande, cep: 88030-300, florianópolis/sc, sendo responsável solidário(a) a associação de profissionais liberais universitários do brasil - aplub, cnpj nº 92.672.070/0001-04, situada na avenida júlio de castilhos 10, centro, cep: 90030-130, porto alegre/rs descrição circunstanciada do fato ou ato constitutivo da suposta infração a aplub previdência transferiu à ecoaplub passivos financeiros resultantes da conversão de planos previdenciários em planos de renda certa, repassando à associação a obrigação de pagamentos mensais aos beneficiários de tais planos. como compensação pelo recebimento do passivo, a associação recebeu também o ativo de correspondente valor em ações da aplub agro florestal. ocorre que, independentemente do mérito legalidade da transferência das obrigações à ecoaplub, que está sendo discutido judicialmente, apurou-se que a aplub previdência continuou a fazer, mensalmente, os pagamentos das rendas junto aos beneficiários, totalizando, entre agosto de 2012 e julho de 2013, o valor pago de r$ 6.049.496,67. como contrapartida, nos primeiros quatro meses desse período, a cada pagamento realizado, a entidade recebia de volta ações da aplub agro florestal, totalizando 109.714 ações em um valor total de r$ 1.385.668,80. nesse caso, ao efetuar os pagamentos de obrigações financeiras da ecoaplub em troca de ações da aplub agro florestal, a entidade adquire ações de pessoa jurídica não permitida, infringindo os critérios de participação acionária permitidos pela lei complementar n° 109/2001. análise de autoria e materialidade da suposta infração conforme o despacho eletrônico susep/ersrs nº 70/2016 (sei n.º 0322180), os srs. salvador lápis júnior e nelson wedekin, na qualidade de diretores da aplub previdência, foram os signatários representantes da aplub previdência na operação descrita no campo descrição circunstanciada do fato ou ato constitutivo da suposta infração. a pessoa jurídica também está sendo intimada, pois, caso a pessoa natural não reste culpável, a responsabilidade pela infração será atribuída à pessoa jurídica, conforme art. 1º da instrução susep nº 76/2015. além disso, numa eventual aplicação de sanção de multa à pessoa natural, a pessoa jurídica é responsável solidária pelo seu pagamento. dispositivo legal ou infralegal supostamente infringido: artigo 70 da resolução cnsp n° 243, de 06 de dezembro de 2011, c/c §1° do artigo 77 da lei complementar n° 109, de 29 de maio de 2001. base legal ou infralegal da penalidade aplicável artigo 70 da resolução cnsp nº 243/11. elementos materiais de prova da suposta infração balancete de julho de 2013; termo particular de transferência de ações entre aplub previdência e ecoaplub (págs. 112/114 do doc. sei n.º 0322154); razão da conta contábil n° 1.2.1.3.1.1.0009 (págs. 102/110 do doc. sei n.º 0322154); circunstâncias que possam afetar na dosimetria e na fixação da pena, inclusive de antecedentes e processos que possam gerar a majoração da pena por reincidência não se constatou a presença de circunstâncias que possam afetar na dosimetria e na fi­xação da pena. infração n.º 02:   31/07/2013 (última data de pagamento de obrigações financeiras registrado no razão da conta contábil n° 1.2.1.3.1.1.0009). falta: realizar qualquer operação comercial ou financeira em desacordo com a legislação qualificação do agente supostamente responsável e, sendo o caso, do responsável solidário srs. salvador lapis junior, cpf nº 053.391.890-15, situado na rua pereira passos, 415. bairro vila assunção, cep 91090-240, porto alegre/rs e nelson wedekin, cpf nº 384.144.498-91, situado na rodovia joão paulo, 2163, saco grande, cep: 88030-300, florianópolis/sc, sendo responsável solidário(a) a associação de profissionais liberais universitários do brasil - aplub, cnpj nº 92.672.070/0001-04, situada na avenida júlio de castilhos 10, centro, cep: 90030-130, porto alegre/rs descrição circunstanciada do fato ou ato constitutivo da suposta infração a aplub previdência transferiu à ecoaplub passivos financeiros resultantes da conversão de planos previdenciários em planos de renda certa, repassando à associação a obrigação de pagamentos mensais aos beneficiários de tais planos. como compensação pelo recebimento do passivo, a associação recebeu também o ativo de correspondente valor em ações da aplub agro florestal. ocorre que, independentemente do mérito legalidade da transferência das obrigações à ecoaplub, que está sendo discutido judicialmente, apurou-se que a aplub previdência continuou a fazer, mensalmente, os pagamentos das rendas junto aos beneficiários, totalizando, entre agosto de 2012 e julho de 2013, o valor pago de rs 6.049.496,67. como contrapartida, a partir de dezembro de 2012, a aplub previdência recebeu o ressarcimento de rs 2.947.174,37, permanecendo o valor restante registrado como créditos a receber da ecoaplub. nesse caso, portanto, ao efetuar os pagamentos de obrigações financeiras da ecoaplub em troca de ressarcimento financeiro posterior ou registro de créditos a receber, a entidade concede um empréstimo à associação, caracterizando operação financeira com empresa ligada, uma vez que a aplub previdência e a ecoaplub possuem administradores em comum, o que é vedado pela resolução cnsp n° 226/2010. destaca-se que o contrato de venda de ações, firmado entre a entidade e a associação em 25 de junho de 2012, houvera estabelecido um prazo de 120 dias para que a ecoaplub implantasse o sistema de pagamento, período no qual a aplub previdência poderia continuar a efetuar o pagamento dos benefícios, a título de mútuo, mediante ressarcimento. apurou-se, entretanto, que mesmo depois de expirado esse prazo, a entidade continuou a garantir os pagamentos, e o permanece fazendo até a data-base do presente relatório. análise de autoria e materialidade da suposta infração conforme o despacho eletrônico susep/ersrs nº 70/2016 (sei n.º 0322180), os srs. salvador lápis júnior e nelson wedekin, na qualidade de diretores da aplub previdência, foram os signatários representantes da aplub previdência na operação descrita no campo descrição circunstanciada do fato ou ato constitutivo da suposta infração. a pessoa jurídica também está sendo intimada, pois, caso a pessoa natural não reste culpável, a responsabilidade pela infração será atribuída à pessoa jurídica, conforme art. 1º da instrução susep nº 76/2015. além disso, numa eventual aplicação de sanção de multa à pessoa natural, a pessoa jurídica é responsável solidária pelo seu pagamento. dispositivo legal ou infralegal supostamente infringido: artigo 49 da resolução cnsp n° 243, de 06 de dezembro de 2011, c/c alínea “c” do inciso x do artigo 9°, c/c alínea “a” do inciso iv do artigo 3º da resolução cnsp n° 226 de 06 de dezembro de 2010. base legal ou infralegal da penalidade aplicável artigo 49 da resolução cnsp nº 243/11. elementos materiais de prova da suposta infração relação de administradores da ecoaplub (pág. 111 do doc. sei n.º 0322154); termo particular de transferência de ações entre aplub previdência e ecoaplub (págs. 112/114 do doc. sei n.º 0322154); razão da conta contábil n° 1.2.1.3.1.1.0009 (págs. 102/110 do doc. sei n.º 0322154); quadro 1 - fip de agosto/12 a julho/13 (págs. 118/169 do doc. sei n.º 0322154 e 3/20 do doc. sei n.º 0322155). circunstâncias que possam afetar na dosimetria e na fixação da pena, inclusive de antecedentes e processos que possam gerar a majoração da pena por reincidência não se constatou a presença de circunstâncias que possam afetar na dosimetria e na fi­xação da pena. atenciosamente,</t>
  </si>
  <si>
    <t xml:space="preserve"> 27/03/2012 - data da proposta de filiação (fl. 39 do sei nº 0221667 ) falta: realizar operação de seguro, cosseguro, resseguro ou capitalização sem a devida autorização, no país ou no exterior. qualificação do agente supostamente responsável e, sendo o caso, do responsável solidário: auto visa rio - associação nacional de assistência aos proprietários de veículos automotores -agente solidário. cnpj n°12.800.481/0001-07 rua poncho verde, n° 3, jardim vinte e cinco de agosto duque de caxias/rj - cep: 25.075-060. eduardo muniz de oliveira - responsavel solidario cpf n° 092.082.937-69 rua poncho verde, n° 3, jardim vinte e cinco de agosto duque de caxias/rj - cep: 25.075-060.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parecer susep/erssp/dcof1 nº 46/2018, ( 0242061 ); despacho susep/erssp/ dcof1 nº 184/2018 0243257; despacho susep/ dicon/ cgcof/ccof1 nº 275/2018(0244215 ) despacho susep/dicon/cgcof/coate nº 756/2018. (0341851). o valor da importância segurada (is) de r$ 26.010,00 ( vinte e seis mil e dez reais) foi obtido na proposta de filiação do reclamante onde consta o veiculo segurado vw fox - ano 2008. ( fls.39 do doc sei 0221667).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proposta de filiação (fl. 39 do sei nº 0221667); estatuto social da auto visa rio (fls. 18/35 do sei nº 0221667); ata da assembleia geral ordinária da auto visa rio de 10 de outubro de 2012 (fls. 36/37 do sei nº 0221667); cópias de páginas do site da auto visa rio (sei nº 0242018)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0357393 atenciosamente,</t>
  </si>
  <si>
    <t>Art. 1º do regulamento anexo à Resolução CMN nº 4.444/2015 c/c arts. 28, 84 e 88 do Decreto-Lei 73/66.</t>
  </si>
  <si>
    <t xml:space="preserve"> 28/02/2019 falta: insuficiência de cobertura das reservas técnicas (aplicação). qualificação do agente supostamente responsável: berkley international do brasil seguros s/a, cnpj 07.021.544/0001-89?. descrição circunstanciada do fato ou do ato constitutivo da suposta infração: a supervisionada não apresentou ativos garantidores vinculados, adequados à legislação em vigor, suficientes para a cobertura de suas provisões técnicas. análise de autoria e materialidade da suposta infração: a supervisionada apresentou r$ 218.667.027,46 de necessidade de cobertura de provisões técnicas referentes ao mês de fevereiro/2019. para a cobertura desse saldo, os ativos garantidores vinculados pela sociedade, no dia 28/02/2019, em conformidade com os arts. 101 a 103 da circular susep nº 517/15, apresentaram montante de r$ 208.317.330,16. dessa forma, fica caracterizada uma insuficiência de r$ 10.349.697,30. dispositivo legal ou infralegal supostamente infringido: art. 1º do regulamento anexo à resolução cmn nº 4.444/2015 c/c arts. 28, 84 e 88 do decreto-lei 73/66. base legal ou infralegal da penalidade aplicável: resolução cnsp n.º 243/2011: art. 42. aplicar ou vincular os recursos exigidos no país para garantia das operações da matriz ou os recursos garantidores das provisões técnicas e fundos especiais garantidores de suas operações e outras provisões exigidas, em desacordo com a legislação. sanção: multa de r$ 20.000,00 (vinte mil reais) a r$ 500.000,00 (quinhentos mil reais). elementos materiais de prova da suposta infração: mapa de estudo da cobertura das provisões técnicas referente a fevereiro/2019 (0445822) e relatório de reincidências (0445842). circunstâncias que podem afetar na dosimetria e na fixação da pena, inclusive de antecedentes e processos que possam gerar a majoração da pena por reincidência: a vinculação de ativos adequados às normas em vigor em montante insuficiente para a cobertura das provisões técnicas do supervisionado coloca em risco a sua capacidade de honrar os compromissos assumidos face aos segurados. além disso, a figura da vinculação dos ativos dos supervisionados ao órgão regulador para cobertura das obrigações junto aos segurados está legalmente prevista e sua finalidade é clara ao nos remetermos, por exemplo, mas não somente, aos artigos 28, 36 (alínea f), 84, 85 e 86 do decreto-lei 73/66. conforme art. 84 do referido decreto-lei, para garantia de todas as suas obrigações, as sociedades seguradoras constituirão reservas técnicas, fundos especiais e provisões, de conformidade com os critérios fixados pelo cnsp, além das reservas e fundos determinados em leis especiais. conforme art. 28 do mesmo decreto-lei, a partir da vigência deste decreto-lei, a aplicação das reservas técnicas das sociedades seguradoras será feita conforme as diretrizes do conselho monetário nacional. a alínea f do art. 36 estabelece que: compete à susep, na qualidade de executora da política traçada pelo cnsp, como órgão fiscalizador da constituição, organização, funcionamento e operações das sociedades seguradoras: (...) f) autorizar a movimentação e liberação dos bens e valores obrigatoriamente inscritos em garantia das reservas técnicas e do capital vinculado(...)”. o art. 85, por sua vez, deixa claro que os ativos garantidores necessitam do aval da autarquia para que sejam movimentados, sendo essa uma evidente distinção entre ativos “livres” e garantidores, conforme se verifica através da transcrição do mesmo: art 85. os bens garantidores das reservas técnicas, fundos e previsões serão registrados na susep e não poderão ser alienados, prometidos alienar ou de qualquer forma gravados sem sua prévia e expressa autorização, sendo nulas de pleno direito as alienações realizadas ou os gravames constituídos com violação deste artigo. por fim, o art. 86 do decreto-lei 73/66 cita um dos possíveis resguardos aos segurados fornecidos pelos ativos ditos garantidores, conforme transcrição a seguir: art. 86. os segurados e beneficiários que sejam credores por indenização ajustada ou por ajustar têm privilégio especial sobre reservas técnicas, fundos especiais ou provisões garantidoras das operações de seguro, de resseguro e de retrocessão. dessa forma, somente podem ser aceitos como ativos garantidores de provisões técnicas aqueles que estejam devidamente vinculados à susep, observados, ainda, os limites estabelecidos pela regulamentação em vigor. a existência de ativos “livres” por si só, não basta para reverter uma situação de insuficiência de cobertura de provisões técnicas, uma vez que a ausência de vínculo à susep a impede de exercer suas prerrogativas legais sobre os mesmos de forma a resguardar a situação de solvência do supervisionado e os interesses dos segurados. a indicação da existência de ativos “livres” na carteira do supervisionado visa tão somente a indicar que a mesma pode amenizar ou resolver sua situação de insuficiência de cobertura vinculando-os à susep. a ausência de ativos “livres” em montante capaz de solucionar a insuficiência de cobertura de provisões técnicas revela uma situação muito mais grave do que a mera insuficiência, sendo combatida pelo órgão fiscalizador de forma bem mais gravosa, se não revertida em breve intervalo de tempo. reiteramos, portanto, que os ativos “livres” não podem, no estado em que se apresentam, ser considerados de nenhuma forma para efeito de cobertura de provisões, pois não possuem as garantias conferidas pelos ativos “vinculados”, estes, sim, garantidores de provisões. outras circunstâncias: no dia 08.03.2019, verificamos que a empresa apresentou insuficiência de cobertura das provisões técnicas em janeiro/2019. durante a análise do fato, constatamos o vencimento no dia 01.01.2019 de ltns no valor de aproximadamente r$ 27 milhões. aparentemente, a sociedade não reaplicou o montante em outro ativo garantidor, o que teria provocado a irregularidade. no próprio 08.03.2019 foi enviado e-mail (0478764) para a entidade informando da insuficiência supracitada. no dia 15.03.2019, a sociedade respondeu, também por e-mail, relatando que logo após o vencimento da ltn ela realizou uma aplicação no valor de r$ 29.303.819,71, porém a efetiva custódia deste valor ocorreu em 11.03.2019. a coris identificou a vinculação de aproximadamente r$ 29.600.000,00 no dia 11.03.2019. com relação à data-base desta presente representação, fevereiro/2019, a supervisionada não possuía ativos vinculados, mesmo que inadequados às normas em vigor, suficientes para a cobertura de suas provisões técnicas. segundo o fipsusep de fevereiro/2019, a supervisionada possuía r$ 46.265.869,70 de ativos livres (0478753), mas que só poderiam ser aceitos como ativos garantidores das reservas técnicas aqueles que atendem às exigências da resolução cmn nº 4.444/2015. no mapa de cobertura de março/2019 (0445846), a berkley international do brasil seguros s/a não voltou a apresentar a irregularidade indicada nesta representação. anexos mapa de estudo da cobertura das provisões técnicas referente à fevereiro/2019 (0445822); relatório de reincidências (0445842); lista de ativos livres do fipsusep de fevereiro/2019 (0478753); e-mail enviado à sociedade (0478764) e mapa de estudo da cobertura das provisões técnicas referente à março/2019 (0445846). atenciosamente,</t>
  </si>
  <si>
    <t>01 - Art. 110 da Circ. SUSEP 517 de 30 de julho de 2015, c/c Art. 5 da Lei Complementar 109 de 29 de maio de 2001.</t>
  </si>
  <si>
    <t xml:space="preserve"> 21/09/2016 falta: enviar com atraso as informações do fipsusep. qualificação do agente supostamente responsável e, sendo o caso, do responsável solidário: investprev seguros e previdencia s.a cnpj nº 17.479.056/0001-73 descrição circunstanciada do fato ou do ato constitutivo da suposta infração: a sociedade não encaminhou , dentro do prazo definido em norma, o fip cujo mês de referência é agosto/2016. análise de autoria e materialidade da suposta infração: tendo em vista que após a análise dos fatos, informações e documentos acostados ao processo, não foi possível identificar a pessoa natural responsável pela conduta identificada como ilícito administrativo, considera-se a sociedade a autora da suposta infração. a data-limite para transmissão foi 20/09/2016, mas a entidade transmitiu sua primeira carga válida em 21/09/2016, tendo assim prejudicado o trabalho de fiscalização indireta realizado pela susep. dispositivo legal ou infralegal supostamente infringido: artigo 110 da circular susep nº 517 de 30 de julho de 2015, combinado com os artigos 36 e 88 do decreto-lei nº 73 de 21 de novembro de 1966. base legal ou infralegal da penalidade aplicável: artigo 37 da resolução cnsp no 243/2011. elementos materiais de prova da suposta infração: relatório de atrasos na entrega do fip e demonstração de impacto nas atividades de regulação setorial na ci susep/ditec/ cgsoa nº 40/16 . circunstâncias que possam afetar na dosimetria e na fixação da pena: para fins de fixação da pena, cumpre-se ressaltar que a sociedade é reincidente, em falta da mesma natureza, conforme relatório de reincidências em anexo. fixação da multa-base provisória: tendo sido apontadas 11(onze) reincidências para a mesma falta, a multa-base provisória corresponderá ao dobro da cominação mínima prevista para a infração, e na hipótese de pagamento dentro do prazo, a representada terá direito ainda ao desconto de 25% conforme artigos 4º e artigo 5º da resolução cnsp 331/2015, respeitados os valores mínimos definidos em norma. anexos relatório de reincidências ; relatório de atrasos/inadimplências do fip/susep e ci susep/ditec/cgsoa nº 40/16 . </t>
  </si>
  <si>
    <t>Manter relação de emprego com corretor de seguro, previdência ou capitalização</t>
  </si>
  <si>
    <t xml:space="preserve">01 - Art. 88 Decreto-lei 73/66, c/c Art. 125 Decreto-lei 73/66. </t>
  </si>
  <si>
    <t xml:space="preserve"> 18/08/2014 data da sentença falta: manter relação de emprego com corretor de seguro qualificação do agente supostamente responsável e, sendo o caso, do responsável solidário: bradesco vida e previdência s.a. avenida alphaville, 779 - 10º andar - sala 1002 - lado b empresarial 18 forte - barueri - sp cep 0642-900 descrição circunstanciada do fato ou do ato constitutivo da suposta infração: descrição circunstanciada do fato ou do ato constitutivo da suposta infração: a decisão judicial, juntada aos autos, já transitou em julgado, documento sei 0176905 tendo em vista o posicionamento exarado pela pf-susep, doc. sei 0176899 apontando que, as manifestações jurídicas, são unânimes em reconhecer que a decisão judicial transitada em julgado, confirmam o vínculo empregatício entre o corretor e a seguradora, constitui indício probatório suficiente para dar início ao processo de representação contra ambos os envolvidos sendo assim, em face do reconhecimento, de . na sentença transitada em julgado, da existência de relação de emprego entre a corretora denise tenório de albuquerque e a bradesco vida e previdência s/a, que compõem o caso concreto em análise, entendo, s.m.j., haver indícios suficientes do cometimento irregularidades por parte da sociedade seguradora.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dispositivo legal ou infralegal supostamente infringido: artigo 88 do decreto-lei nº 73/66, c/c o artigo 125 do decreto-lei nº 73/66. base legal ou infralegal da penalidade aplicável: artigo 70 da resolução cnsp n.º 243/2011. elementos materiais de prova da suposta infração: - sentença n.º 0024434-53.2014.5.24.0007, transitado em julgado. - manifestação jurídica da pf susep, entendendo haver elementos para a lavratura de representação, em função do vínculo empregatício entre a corretora e a seguradora, doc. sei 0176899 - despacho do processo n.º 1541.001376/2015-31, doc. sei 0176910 - infração continuada, período em que foi reconhecida a existência de contrato de emprego, de 12/04/2010 a 19/11/2013. - parecer de representação contra a corretora, doc. sei 0176913 circunstâncias que possam afetar na dosimetria e na fixação da pena, inclusive de antecedentes e processos que possam gerar a majoração da pena por reincidência: não foram apuradas reincidências em processo susep transitado em julgado. anexos relatório de reincidências; relatório de antecedentes e cadastro da corretora </t>
  </si>
  <si>
    <t>Não efetivar  a portabilidade dos recursos dentro do prazo especificado.</t>
  </si>
  <si>
    <t>01 - Art. 6 c/c §2 do Art. 4 da Instrução Conjunta 1/14 SUSEP-PREVIC</t>
  </si>
  <si>
    <t xml:space="preserve"> assunto: previdência (inclusive pecúlio)/pgbl/portabilidade/outros descrição dos fatos: boa tarde, estou enfrentando muito problema com pedido de portabilidade junto à caixa onde tenho uma previdência pgbl conforme dados:caixa previnvest - 1038contratação: 27/01/2011término do plano: 27/01/2042duração do plano: 31 anosregime tributário: alíquota do regime tributário regressivoestou pedindo para fapers:fundação assistencial e previdenciária da extensão rural no rio grande do sulonde tenho plano ativo desde 2013 quando fui trabalhar na emater/rs aqui de porto alegre.a caixa está se negando fazer meu pedido de portabilidade, conforme conversa por e-mail em anexo:cláudio fernando, descobri. teu próprio plano novo de previdência pede a portabilidade. não somos nós que enviamos o recurso. atenciosamente,izac viana koenig juniorgerente de atendimento pfagência assis brasilde: fernandho fernandes [mailto:fernandho_fernandes@live.com] enviada em: quarta-feira, 5 de julho de 2017 17:32para: izac viana koenig juniorassunto: re: previdencia por telefone, não tenho êxito,a portabilidade, pelo motivo que na empresa que trabalho temos uma, e desde que vim pra cá, à 4 anos contribuo aqui.tenho a do meu filho na caixa e contribuo, nem vou mexer nela, mas a minha quero a transferência. cláudio fernandocel: (51) 98273-0632fixo: 3347-4273 sim o sac da empresa foi acionado? </t>
  </si>
  <si>
    <t>Gerir os recursos do dpvat em desacordo com a legislação ou às determinações da susep</t>
  </si>
  <si>
    <t>01 - Art. 4 e 5 da Res. CNSP 215/10</t>
  </si>
  <si>
    <t xml:space="preserve"> 27/07/2012 falta: gerir os recursos relativos ao seguro de danos pessoais causados por veículos automotores de via terrestre – dpvat em desacordo com a legislação ou às determinações da susep qualificação do agente supostamente responsável e, sendo o caso, do responsável solidário: o sr. josé márcio barbosa norton, cpf n.º 174.562.157-15, diretor de relações com a susep e o sr. marcus vinicius cataldo de felipe, cpf: 521.462.436-00, diretor administrativo-financeiro da seguradora líder dos consórcios do seguro dpvat s.a. e como responsável solidário: seguradora líder dos consórcios do seguro dpvat s.a, cnpj nº 09.248.608/0001-04, situada na rua senador dantas nº 74, 5º andar - centro – rio de janeiro – rj – cep: 20.031-205. descrição circunstanciada do fato ou ato constitutivo da suposta infração: o contrato de patrocínio para o “projeto saúde ocular” no valor de r$ 37.730,00, desenvolvido pelo instituto joão ferraz de campos, junto às comunidades carentes fogem ao objeto social da seguradora líder do dpvat s/a, não estando relacionado ao custeio e manutenção das atividades da seguradora. análise de autoria e materialidade da suposta infração: no que tange a autoria, os representados estão sendo qualificados como responsáveis na presente representação, em função de terem consignado suas respectivas assinaturas no referido contrato de patrocínio. o contrato de patrocínio com o instituto joão ferraz de campos, presidido pelo sr. joão elísio ferraz de campos tem como objetivo a realização de exames de acuidade visual e doação de óculos aos moradores de comunidades de baixa renda em engenheiro pedreira no município de japeri-rj. de acordo com o item 4.3.3 da resolução cfc 1374/2011, transcrito abaixo, a definição contábil referente as despesas abrangem tanto as perdas quanto as despesas assumidas em consequência das atividades usuais da entidade. 4.33. a definição de despesas abrange tanto as perdas quanto as despesas propriamente ditas que surgem no curso das atividades usuais da entidade. as despesas que surgem no curso das atividades usuais da entidade incluem, por exemplo, o custo das vendas, salários e depreciação. geralmente, tomam a forma de desembolso ou redução de ativos como caixa e equivalentes de caixa, estoques e ativo imobilizado. importante ressaltar que o prêmio não é destinado em sua totalidade para arcar com o pagamento de indenizações, sendo em parte destinado a finalidades diversas, conforme disposto no art. 4º da resolução cnsp 215/10, transcrito abaixo, os recursos arrecadados pelo prêmio do seguro dpvat nas categorias pertencentes ao consórcio 1, são destinados aos seguintes componentes: art. 4o os percentuais de repasse dos prêmios tarifários arrecadados, relativos às categorias 1, 2, 9 e 10, na forma da legislação vigente, ficam estabelecidos em:  componentes percentuais (%) sus 45,0 denatran 5,0 despesas administrativas 3,679 margem de resultado 2,0 corretagem 0,5 premio puro + ibnr 43,821 a gestão eficiente dos recursos do dpvat e a correta regulação de sinistros, visando o pagamento de indenizações do respectivo seguro para quem de direito, são a razão de ser da seguradora líder, são as suas atividades usuais. ou seja, as despesas administrativas suportadas pela seguradora líder devem ter correlação com tais atividades. no caso peculiar do seguro dpvat, as fiscalizações devem abordar não apenas aspectos relacionados à solvência e liquidez da sociedade, mas incluir também análise mais criteriosa das despesas administrativas da seguradora líder, haja vista a natureza compulsória dos recursos que financiam este segmento. sendo assim, tal dispêndio está em desacordo com os artigos 4º e 5º da resolução 215/2010, uma vez que a doação no valor de r$ 37.730,00 a título de patrocínio para o “projeto saúde ocular” não pode ser considerada como integrante das despesas administrativas da seguradora líder. dessa forma, entende-se que o uso do recurso foi para fim diverso de sua função, qual seja, a de administrar os recursos e gerir o seguro dpvat. cabe salientar que esta autarquia, em seu poder-dever de verificar a gestão dos recursos do dpvat, tratou de aprimorar a legislação relativa ao tema com a publicação da resolução cnsp nº273/2012 em que nos seus art. 7º a 9º disciplina de forma mais incisiva o gasto relativo às despesas administrativas. abaixo se transcreve parte do art. 7º: “art. 7º as despesas administrativas serão realizadas e controladas em observância aos princípios da eficiência, da razoabilidade, da publicidade e da impessoalidade. § 1º a seguradora líder estabelecerá critérios objetivos e transparentes para aquisição de produtos e serviços. § 2º as contratações deverão ser feitas, preferencialmente, com o fornecedor ou o prestador do produto ou serviço, observando a sua qualidade e as práticas de mercado. § 3º ficam vedados quaisquer doações e patrocínios que não estejam diretamente relacionados com os objetivos operacionais e institucionais do seguro dpvat.(grifo nosso) (...) “ dispositivo legal ou infralegal supostamente infringidos: artigos 4º e 5º da resolução cnsp nº 215/2010. base legal ou infralegal da penalidade aplicável art. 64 da resolução cnsp nº 243/11 circunstâncias que possam afetar na dosimetria e na fixação da pena, inclusive de antecedentes e processos que possam gerar a majoração da pena por reincidência: não há. documentação anexa: cópia do contrato da seguradora com o instituto joão ferraz de campos para atendimento de moradores carentes em engenheiro pedreira – japeri. comprovantes de pagamento e recebimento; </t>
  </si>
  <si>
    <t xml:space="preserve"> 08/02/2014 (termo de adesão/proposta de filiação )( 0348797) falta: realizar operação de seguro, cosseguro, resseguro ou capitalização sem a devida autorização, no país ou no exterior. qualificação do agente supostamente responsável e, sendo o caso, do responsável solidário: max truck - associação de benefícios para veículos pesados - agente responsável cnpj nº 18.504.895/0001-67 av f, 1053, quadra d, lote 03 agua branca - goiania - go cep 74.723-100 ryan o’neal novato silva e pessoa - responsável solidário cpf/mf nº 950.668.371-91 rua ar-06, quadra 12, lote 09, cj habitacional aruana ii, goiânia/go, cep 74.740-330 descrição circunstanciada do fato ou do ato constitutivo da suposta infração: 1) termo de julgamento eletrônico susep/superintendente/ gabin/secon n° 90/2017 (0161910), de 16/08/2017 ; 2) nota técnica emitida pela coordenação-geral de monitoramento de conduta (cgcom) no parecer eletrônico susep/dicon/cgcom/copat nº 93/2018 (0280351), de 25/04/2018. parecer susep/dicon/cgcof/ccof1 nº 93/2018 (0312526) despacho susep/dicon/cgcof/coate nº 518/2018 (0324644 ). análise de autoria e materialidade da suposta infração: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art. 2º a prática das infrações previstas nesta resolução sujeitará a pessoa natural ou jurídica responsável às seguintes sanções administrativas: iii - multa no valor igual à importância segurada ou ressegurada, no caso das operações de seguro, cosseguro ou resseguro sem autorização; § 2º a multa de que trata o inciso iii do art. 2º será imputada solidariamente aos agentes infratores envolvidos, assim entendidos a pessoa jurídica e seus dirigentes dispositivo legal ou infralegal supostamente infringido: parágrafo único do art. 757 do código civil c/c arts. 24 e 113 do decreto-lei n° 73/1966 base legal ou infralegal da penalidade aplicável: art. 113 do decreto-lei n° 73/1966 c/c o art. 17 da resolução cnsp 243/2011. elementos materiais de prova da suposta infração: regimento interno (doc sei 0103491, fls. 40/47). termo de adesão/proposta de filiação ( doc. sei 0348797) circunstâncias que possam afetar na dosimetria e na fixação da pena, inclusive de antecedentes e processos que possam gerar a majoração da pena por reincidência: não foram constatadas circunstâncias atenuantes e agravantes com base nos arts. 10,11,12 da resolução cnsp nº 243/11. para fins de fixação da pena, cumpre-se ressaltar que a sociedade não é reincidente em falta da mesma natureza. 0357329 atenciosamente,</t>
  </si>
  <si>
    <t>01 - Art. 8 e 9 da Circ. SUSEP 517/17, c/c documento de orientações "Sinistros X Outras Despesas Operacionais".</t>
  </si>
  <si>
    <t xml:space="preserve"> 01/01/2017, dia posterior à data limite para adaptação às orientações da susep. falta: não atender, no prazo, às solicitações da autarquia, desde que tal procedimento não seja caracterizado como ato ou omissão para dificultar ou impedir atividade de investigação ou fiscalização da susep. conduta prevista na resolução cnsp nº 331/2015: não atender, no prazo, às solicitações da autarquia, desde que tal procedimento não seja caracterizado como ato ou omissão para dificultar ou impedir atividade de investigação ou fiscalização da susep. qualificação do agente supostamente responsável e, sendo o caso, do responsável solidário: companhia de seguros previdência do sul, cnpj 92.751.213/0001-73 - endereço: rua general câmara, 230 - 7º ao 11º andares - bairro centro, porto alegre/rs, cep: 90.010-230. descrição circunstanciada do fato ou do ato constitutivo da suposta infração: a empresa deveria ter adaptado suas provisões de psl e ibnr às orientações divulgadas pela susep no documento sinistros x outras despesas operacionais (sei 0137842 - documento 1) até a data-base de dezembro/2016. contudo, conforme admitido pela própria companhia (sei 0137842 - documento 2), tal adaptação ocorreu somente em maio/2017. antes da publicação do documento de orientação sinistros x outras despesas operacionais, não existia um padrão sobre a forma de classificação de alguns eventos contábeis relacionados às operações de seguros das supervisionadas: um mesmo evento era considerado sinistro por um empresa (e assim era registrado como provisão técnica) e contingência por outra (e assim era registrado em outras contas de passivo que não as de provisões técnicas). o documento de orientação foi publicado com o objetivo de estabelecer um padrão de lançamentos de eventos relacionados a sinistros ou a contingências, permitindo a comparabilidade entre as análises das companhias do mercado e das informações divulgadas no site da susep, bem como o correto dimensionamento das provisões técnicas e ativos vinculados. importante ressaltar que o documento de orientação reflete discussão iniciada no ano de 2013 no âmbito das comissões atuarial e contábil da susep, fórum que envolve tanto representantes da susep quanto do mercado. após algumas reuniões para tratar do assunto, a susep publicou no seu site, em abril/2014, tal documento, com o entendimento da questão e com o prazo máximo para o ajuste contábil, definido como sendo 31/12/2016. o prazo dado foi relativamente longo (mais de 2 anos) justamente em função de pedido do mercado por conta da dificuldade de operacionalizar a questão. mesmo tendo um prazo de dois anos para adaptação, a companhia de seguros previdência do sul não realizou os ajustes a tempo. análise de autoria e materialidade da suposta infração: autoria: tendo em vista que, após a análise, não se verificam informações ou documentos acostados ao processo que contenham elementos que possibilitem a individualização da conduta de pessoa natural na responsabilidade pela infração, considera-se a sociedade a autora da suposta infração. materialidade: o art. 8º da circular susep nº 517/2015 dispõe que a provisão de psl deve ser constituída para a cobertura dos valores esperados a liquidar relativos a pagamentos únicos e rendas vencidas, de sinistros avisados até a data-base de cálculo; o art. 9º, por sua vez, diz que a provisão de ibnr deve ser constituída para a cobertura dos valores esperados a liquidar relativos a sinistros ocorridos e não avisados até a data-base de cálculo. o documento de orientações sinistros x outras despesas operacionais teve por objetivo definir o conceito de sinistro em algumas situações em que esse conceito se confundia com o conceito de outras despesas, de forma a permitir o correto provisionamento das provisões. dispositivo legal ou infralegal supostamente infringido: artigos 8 e 9 da circular susep nº 517/2017, combinado com o documento de orientações sinistros x outras despesas operacionais. base legal ou infralegal da penalidade aplicável: parágrafo único do art. 37 da resolução cnsp no 243/2011. elementos materiais de prova da suposta infração: correspondência da empresa em que admite que somente cumpriu as exigências do documento de orientação em maio/2017 (sei 0137842 - documento 2). circunstâncias que possam afetar na dosimetria e na fixação da pena, inclusive de antecedentes e processos que possam gerar a majoração da pena por reincidência: para fins de fixação da pena, cumpre-se ressaltar que a sociedade é reincidente em falta da mesma natureza, conforme relatório de reincidências em anexo. fixação da multa-base provisória: tendo sido verificadas três reincidências para a mesma falta, conforme anexo (sei 0137842 - documento 3), a multa-base para a infração, e, na hipótese de pagamento dentro do prazo, o representado terá direito ainda ao desconto previsto no artigo 4º da resolução cnsp nº 331/2015. anexos documento de orientações sinistros x outras despesas operacionais (sei 0137842 - documento 1); correspondência da empresa em que admite que somente cumpriu as exigências do documento de orientação somente em maio/2017 (sei 0137842 - documento 2); relatório de reincidências (sei 0137842 - documento 3). </t>
  </si>
  <si>
    <t>01 - Art. 1º do regulamento anexo à Resolução CMN nº 4.444/2015 c/c arts. 28, 84 e 88 do Decreto-Lei 73/66.</t>
  </si>
  <si>
    <t xml:space="preserve"> 31/10/2018 falta: insuficiência de cobertura das reservas técnicas (aplicação). qualificação do agente supostamente responsável: companhia excelsior de seguros, cnpj 33.054.826/0001-92. descrição circunstanciada do fato ou do ato constitutivo da suposta infração: a supervisionada não apresentou ativos garantidores vinculados, adequados à legislação em vigor, suficientes para a cobertura de suas provisões técnicas. análise de autoria e materialidade da suposta infração: a supervisionada apresentou r$ 114.557.972,00 de necessidade de cobertura de provisões técnicas referentes ao mês de outubro/2018. para a cobertura desse saldo, os ativos garantidores vinculados pela sociedade, no dia 31/10/2018, em conformidade com os arts. 101 a 103 da circular susep nº 517/15, apresentaram montante de r$ 111.726.009,55. dessa forma, fica caracterizada uma insuficiência de r$ 2.831.962,45. dispositivo legal ou infralegal supostamente infringido: art. 1º do regulamento anexo à resolução cmn nº 4.444/2015 c/c arts. 28, 84 e 88 do decreto-lei 73/66. base legal ou infralegal da penalidade aplicável: resolução cnsp n.º 243/2011: art. 42. aplicar ou vincular os recursos exigidos no país para garantia das operações da matriz ou os recursos garantidores das provisões técnicas e fundos especiais garantidores de suas operações e outras provisões exigidas, em desacordo com a legislação. sanção: multa de r$ 20.000,00 (vinte mil reais) a r$ 500.000,00 (quinhentos mil reais). elementos materiais de prova da suposta infração: mapa de estudo da cobertura das provisões técnicas referente a outubro/2018 (sei nº 0511951) e relatório de reincidências (sei nº 0511954). circunstâncias que podem afetar na dosimetria e na fixação da pena, inclusive de antecedentes e processos que possam gerar a majoração da pena por reincidência: a vinculação de ativos adequados às normas em vigor em montante insuficiente para a cobertura das provisões técnicas do supervisionado coloca em risco a sua capacidade de honrar os compromissos assumidos face aos segurados. além disso, a figura da vinculação dos ativos dos supervisionados ao órgão regulador para cobertura das obrigações junto aos segurados está legalmente prevista e sua finalidade é clara ao nos remetermos, por exemplo, mas não somente, aos artigos 28, 36 (alínea f), 84, 85 e 86 do decreto-lei 73/66. conforme art. 84 do referido decreto-lei, para garantia de todas as suas obrigações, as sociedades seguradoras constituirão reservas técnicas, fundos especiais e provisões, de conformidade com os critérios fixados pelo cnsp, além das reservas e fundos determinados em leis especiais. conforme art. 28 do mesmo decreto-lei, a partir da vigência deste decreto-lei, a aplicação das reservas técnicas das sociedades seguradoras será feita conforme as diretrizes do conselho monetário nacional. a alínea f do art. 36 estabelece que: compete à susep, na qualidade de executora da política traçada pelo cnsp, como órgão fiscalizador da constituição, organização, funcionamento e operações das sociedades seguradoras: (...) f) autorizar a movimentação e liberação dos bens e valores obrigatoriamente inscritos em garantia das reservas técnicas e do capital vinculado(...)”. o art. 85, por sua vez, deixa claro que os ativos garantidores necessitam do aval da autarquia para que sejam movimentados, sendo essa uma evidente distinção entre ativos “livres” e garantidores, conforme se verifica através da transcrição do mesmo: art 85. os bens garantidores das reservas técnicas, fundos e previsões serão registrados na susep e não poderão ser alienados, prometidos alienar ou de qualquer forma gravados sem sua prévia e expressa autorização, sendo nulas de pleno direito as alienações realizadas ou os gravames constituídos com violação deste artigo. por fim, o art. 86 do decreto-lei 73/66 cita um dos possíveis resguardos aos segurados fornecidos pelos ativos ditos garantidores, conforme transcrição a seguir: art. 86. os segurados e beneficiários que sejam credores por indenização ajustada ou por ajustar têm privilégio especial sobre reservas técnicas, fundos especiais ou provisões garantidoras das operações de seguro, de resseguro e de retrocessão. dessa forma, somente podem ser aceitos como ativos garantidores de provisões técnicas aqueles que estejam devidamente vinculados à susep, observados, ainda, os limites estabelecidos pela regulamentação em vigor. a existência de ativos “livres” por si só, não basta para reverter uma situação de insuficiência de cobertura de provisões técnicas, uma vez que a ausência de vínculo à susep a impede de exercer suas prerrogativas legais sobre os mesmos de forma a resguardar a situação de solvência do supervisionado e os interesses dos segurados. a indicação da existência de ativos “livres” na carteira do supervisionado visa tão somente a indicar que a mesma pode amenizar ou resolver sua situação de insuficiência de cobertura vinculando-os à susep. a ausência de ativos “livres” em montante capaz de solucionar a insuficiência de cobertura de provisões técnicas revela uma situação muito mais grave do que a mera insuficiência, sendo combatida pelo órgão fiscalizador de forma bem mais gravosa, se não revertida em breve intervalo de tempo. reiteramos, portanto, que os ativos “livres” não podem, no estado em que se apresentam, ser considerados de nenhuma forma para efeito de cobertura de provisões, pois não possuem as garantias conferidas pelos ativos “vinculados”, estes, sim, garantidores de provisões. outras circunstâncias: a supervisionada não possuía ativos vinculados, mesmo que inadequados às normas em vigor, suficientes para a cobertura de suas provisões técnicas. segundo o fipsusep do mês de referência, outubro/2018, a supervisionada possuía r$ 1.720.482,53 de ativos livres (sei nº 0512806), porém só poderiam ser aceitos como ativos garantidores das reservas técnicas aqueles que atendem às exigências da resolução cmn nº 4.444/2015. no mapa de cobertura do mês subsequente, novembro/2018 (sei nº 0511952), a seguradora não voltou a apresentar a irregularidade indicada nesta representação. anexos mapa de estudo da cobertura das provisões técnicas referente à outubro/2018 (0511951); relatório de reincidências (0511954); mapa de estudo da cobertura das provisões técnicas referente à novembro/2018 (0511952); lista de ativos livres do fip de outubro/2018 (0512806). por todo o exposto, intime-se a supervisionada representada a alegar o que bem entender em defesa da presente autuação. atenciosamente,</t>
  </si>
  <si>
    <t>Não cumprir as normas para portabilidade entre planos ou seguros</t>
  </si>
  <si>
    <t>01 - Circ. SUSEP 338/07, § único, Art. 12.</t>
  </si>
  <si>
    <t xml:space="preserve"> assunto: seguro (inclusive vgbl)/vgbl/divergência quanto ao valor do resgate descrição dos fatos: segurada sra. elza grossi coelho plano vgbl - brasilprev matr. 9397785-9 portabilidade para o itaú vida e prev. solicita devolução/restituição saldo aplicação em 07 de junho de 2016 valor de r$ 540.532,81 port. plano prev. privada brasilprev vgbl para itaú vida e prev. s.a. portab. realizada em 02 etapas totalizando valor de r$ 530.518,10 saldo devido de r$ 10.014,70 solicita devolução do resíduo referenciado com juros e correção monetária. sim o sac da empresa foi acionado? </t>
  </si>
  <si>
    <t>01 - Art. 757 do Código Civil e Art. 24 Decreto-lei 73/66.</t>
  </si>
  <si>
    <t xml:space="preserve"> 03/09/2014 - data de assinatura de contrato de prestação de benefícios/serviços mais antigo juntado aos autos adesão (sei 0354695). falta: realizar operação de seguro, cosseguro, resseguro ou capitalização sem a devida autorização, no país ou no exterior. qualificação do agente supostamente responsável e, sendo o caso, do responsável solidário: caron &amp; caron ltda - me (liv - planos para a vida / funerária perpétuo socorro), cnpj nº 19.844.420/0001-82, estabelecida na rua bom jesus, 111, beira rio, cep 65.900-180, imperatriz - ma, na qualidade de agente responsável; renato luis caron, sócio-administrador, cpf nº 269.815.053-04, residente e domiciliado à rua bom jesus, 111, a, beira rio, cep 65.900-180, imperatriz - ma, na qualidade de responsável solidário; ryta de kassia gama caron, sócio-administrador, cpf nº 550.754.013-68, residente e domiciliada à rua bom jesus, 111, a, beira rio, cep 65.900-180, imperatriz - ma, na qualidade de responsável solidário. descrição circunstanciada do fato ou do ato constitutivo da suposta infração: considerando os atos abaixo mencionados, constatou-se que há indícios de que a atividade realizada pelo agente supostamente responsável possui natureza de seguro: termo de julgamento eletrônico susep/superintendente/gabin/secon n° 90/2017 (0161910), de 16/08/2017; nota técnica emitida pela coordenação-geral de monitoramento de conduta (cgcom) no parecer eletrônico susep/dicon/cgcom/copat nº 93/2018 (0280351), de 25/04/2018; ofício n° 2015.345/pjdc, de 19/11/2105 (0240139, pp. 3-4); ofício n° 2014.339/pjdc, de 30/11/2014 (0240139, pp. 5-6); ofício n° 2015.073/pjdc, de 06/04/2015 (0240139, pp. 11-12); manifestação da susep/dirat/cgrat/corat (0240139, p. 8); parecer susep/dicon/cgcom/copep/dipes/nº 248/16 (0240139, pp. 102-106), pela opinião de que o plano de assistência contratado apresenta características de um seguro; despacho da dipes/copep, ratificando o teor do parecer susep/dicon/cgcom/copep/dipes n° 248/16 (0240139, p. 149). análise de autoria e materialidade da suposta infração: a caron &amp; caron ltda - me (liv - planos para a vida / funerária perpétuo socorro), cnpj nº 19.844.420/0001-82, foi considerada a agente responsável da suposta infração. seus dirigentes, por suas vezes, nos termos do inciso iii do artigo 2º, bem como nos do § 2º do artigo 4º da resolução cnsp nº 243, de 2011, consideram-se os responsáveis solidários. dispositivo legal ou infralegal supostamente infringido: artigo 757 do código civil e artigo 24 do decreto-lei nº 73, de 1966. base legal ou infralegal da penalidade aplicável: artigo 113 do decreto-lei nº 73, de 1966 e artigo 17 da resolução cnsp nº 243, de 2011. elementos materiais de prova da suposta infração: ofício n° 2015.345/pjdc, de 19/11/2105 (0240139, pp. 3-4); ofício n° 2014.339/pjdc, de 30/11/2014 (0240139, pp. 5-6); ofício n° 2015.073/pjdc, de 06/04/2015 (0240139, pp. 11-12) ofício de n° 05/2016, de 25/01/2016 – manifestação da caron &amp; caron ltda. (0240139, p. 26); documento de constituição da sociedade limitada (0240139, pp. 28-30); tabela discriminando diversos tipos de planos, e, os valores das mensalidades, incluindo a quantidade de contratos, a quantidade de associados e seus dependentes (0240139, p. 27); declaração de que não dispõe de regulamento dos planos de morte e assistência funeral, mas apenas contrato firmado entre as partes envolvidas (0240139, p. 31); cópia de contratos (0240139, pp. 40-77; 0354695). circunstâncias que possam afetar na dosimetria e na fixação da pena, inclusive de antecedentes e processos que possam gerar a majoração da pena por reincidência: não foram constatadas circunstâncias atenuantes e agravantes com base nos artigos 10, 11 e 12 da resolução cnsp nº 243, de 2011. para fins de fixação da pena, cumpre-se ressaltar que a sociedade não é reincidente em falta da mesma natureza. anexos relatório de reincidências (0391348). atenciosamente,</t>
  </si>
  <si>
    <t>Num</t>
  </si>
  <si>
    <t>&lt;&gt;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</si>
</sst>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i/>
      <sz val="11"/>
      <color theme="1"/>
      <name val="Calibri"/>
      <family val="2"/>
      <scheme val="minor"/>
    </font>
    <font>
      <u/>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xf>
    <xf numFmtId="1" fontId="0" fillId="0" borderId="0" xfId="0" applyNumberFormat="1" applyAlignment="1">
      <alignment horizontal="center" vertical="center"/>
    </xf>
    <xf numFmtId="0" fontId="0" fillId="0" borderId="0" xfId="0" applyAlignment="1">
      <alignment horizontal="center" wrapText="1"/>
    </xf>
    <xf numFmtId="0" fontId="0" fillId="0" borderId="0" xfId="0" applyAlignment="1">
      <alignment wrapText="1"/>
    </xf>
    <xf numFmtId="0" fontId="0" fillId="0" borderId="0" xfId="0" applyAlignment="1">
      <alignment horizontal="justify" vertical="center" wrapText="1"/>
    </xf>
    <xf numFmtId="0" fontId="0" fillId="0" borderId="0" xfId="0" applyAlignment="1">
      <alignment horizontal="right"/>
    </xf>
  </cellXfs>
  <cellStyles count="1">
    <cellStyle name="Normal" xfId="0" builtinId="0"/>
  </cellStyles>
  <dxfs count="0"/>
  <tableStyles count="0" defaultTableStyle="TableStyleMedium2" defaultPivotStyle="PivotStyleLight16"/>
  <colors>
    <mruColors>
      <color rgb="FF5C666C"/>
      <color rgb="FFBED62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1203960</xdr:colOff>
      <xdr:row>14</xdr:row>
      <xdr:rowOff>160020</xdr:rowOff>
    </xdr:from>
    <xdr:to>
      <xdr:col>0</xdr:col>
      <xdr:colOff>5257800</xdr:colOff>
      <xdr:row>17</xdr:row>
      <xdr:rowOff>129540</xdr:rowOff>
    </xdr:to>
    <xdr:sp macro="[0]!ShowForm" textlink="">
      <xdr:nvSpPr>
        <xdr:cNvPr id="3" name="Rectangle: Rounded Corners 2">
          <a:extLst>
            <a:ext uri="{FF2B5EF4-FFF2-40B4-BE49-F238E27FC236}">
              <a16:creationId xmlns:a16="http://schemas.microsoft.com/office/drawing/2014/main" id="{8E93D3C0-DC00-4EB1-9D43-D2D0B37456FA}"/>
            </a:ext>
          </a:extLst>
        </xdr:cNvPr>
        <xdr:cNvSpPr/>
      </xdr:nvSpPr>
      <xdr:spPr>
        <a:xfrm>
          <a:off x="1203960" y="4183380"/>
          <a:ext cx="4053840" cy="518160"/>
        </a:xfrm>
        <a:prstGeom prst="roundRect">
          <a:avLst/>
        </a:prstGeom>
        <a:solidFill>
          <a:srgbClr val="BED62F"/>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solidFill>
                <a:srgbClr val="5C666C"/>
              </a:solidFill>
              <a:latin typeface="Arial" panose="020B0604020202020204" pitchFamily="34" charset="0"/>
              <a:cs typeface="Arial" panose="020B0604020202020204" pitchFamily="34" charset="0"/>
            </a:rPr>
            <a:t>Atribuir</a:t>
          </a:r>
          <a:r>
            <a:rPr lang="en-US" sz="1600" b="1" baseline="0">
              <a:solidFill>
                <a:srgbClr val="5C666C"/>
              </a:solidFill>
              <a:latin typeface="Arial" panose="020B0604020202020204" pitchFamily="34" charset="0"/>
              <a:cs typeface="Arial" panose="020B0604020202020204" pitchFamily="34" charset="0"/>
            </a:rPr>
            <a:t> similaridades</a:t>
          </a:r>
          <a:endParaRPr lang="en-US" sz="1600" b="1">
            <a:solidFill>
              <a:srgbClr val="5C666C"/>
            </a:solidFill>
            <a:latin typeface="Arial" panose="020B0604020202020204" pitchFamily="34" charset="0"/>
            <a:cs typeface="Arial" panose="020B0604020202020204" pitchFamily="34" charset="0"/>
          </a:endParaRPr>
        </a:p>
      </xdr:txBody>
    </xdr:sp>
    <xdr:clientData/>
  </xdr:twoCellAnchor>
  <xdr:twoCellAnchor editAs="oneCell">
    <xdr:from>
      <xdr:col>0</xdr:col>
      <xdr:colOff>3</xdr:colOff>
      <xdr:row>0</xdr:row>
      <xdr:rowOff>1</xdr:rowOff>
    </xdr:from>
    <xdr:to>
      <xdr:col>0</xdr:col>
      <xdr:colOff>1164271</xdr:colOff>
      <xdr:row>6</xdr:row>
      <xdr:rowOff>114300</xdr:rowOff>
    </xdr:to>
    <xdr:pic>
      <xdr:nvPicPr>
        <xdr:cNvPr id="4" name="Picture 3" descr="Resultado de imagem para nova ims">
          <a:extLst>
            <a:ext uri="{FF2B5EF4-FFF2-40B4-BE49-F238E27FC236}">
              <a16:creationId xmlns:a16="http://schemas.microsoft.com/office/drawing/2014/main" id="{4053B827-2656-4244-A94F-602D58159B0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 y="1"/>
          <a:ext cx="1164268" cy="12115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21048-BC8A-447E-BAF5-EFFF84F6CAC3}">
  <sheetPr codeName="shHome"/>
  <dimension ref="A1:A14"/>
  <sheetViews>
    <sheetView showGridLines="0" topLeftCell="A7" workbookViewId="0">
      <selection activeCell="A18" sqref="A18"/>
    </sheetView>
  </sheetViews>
  <sheetFormatPr defaultColWidth="8.88671875" defaultRowHeight="14.4" x14ac:dyDescent="0.3"/>
  <cols>
    <col min="1" max="1" width="103.5546875" style="6" customWidth="1"/>
    <col min="2" max="16384" width="8.88671875" style="1"/>
  </cols>
  <sheetData>
    <row r="1" spans="1:1" x14ac:dyDescent="0.3">
      <c r="A1" s="7"/>
    </row>
    <row r="8" spans="1:1" ht="72" x14ac:dyDescent="0.3">
      <c r="A8" s="8" t="s">
        <v>8</v>
      </c>
    </row>
    <row r="9" spans="1:1" x14ac:dyDescent="0.3">
      <c r="A9" s="8"/>
    </row>
    <row r="10" spans="1:1" ht="57.6" x14ac:dyDescent="0.3">
      <c r="A10" s="8" t="s">
        <v>11</v>
      </c>
    </row>
    <row r="11" spans="1:1" x14ac:dyDescent="0.3">
      <c r="A11" s="8"/>
    </row>
    <row r="12" spans="1:1" ht="57.6" x14ac:dyDescent="0.3">
      <c r="A12" s="8" t="s">
        <v>10</v>
      </c>
    </row>
    <row r="13" spans="1:1" x14ac:dyDescent="0.3">
      <c r="A13" s="8"/>
    </row>
    <row r="14" spans="1:1" x14ac:dyDescent="0.3">
      <c r="A14" s="8" t="s">
        <v>9</v>
      </c>
    </row>
  </sheetData>
  <pageMargins left="0.7" right="0.7" top="0.75" bottom="0.75" header="0.3" footer="0.3"/>
  <pageSetup paperSize="9"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63505-D1EF-4948-95FF-C1F6E2456935}">
  <sheetPr codeName="shSim"/>
  <dimension ref="A1:G1226"/>
  <sheetViews>
    <sheetView tabSelected="1" workbookViewId="0">
      <selection activeCell="F2" sqref="F2"/>
    </sheetView>
  </sheetViews>
  <sheetFormatPr defaultRowHeight="14.4" customHeight="1" x14ac:dyDescent="0.3"/>
  <cols>
    <col min="1" max="1" width="5.109375" style="1" bestFit="1" customWidth="1"/>
    <col min="2" max="3" width="7" bestFit="1" customWidth="1"/>
    <col min="4" max="4" width="4.109375" style="1" bestFit="1" customWidth="1"/>
  </cols>
  <sheetData>
    <row r="1" spans="1:6" ht="14.4" customHeight="1" x14ac:dyDescent="0.3">
      <c r="A1" s="3" t="s">
        <v>132</v>
      </c>
      <c r="B1" s="4" t="s">
        <v>5</v>
      </c>
      <c r="C1" s="4" t="s">
        <v>6</v>
      </c>
      <c r="D1" s="4" t="s">
        <v>7</v>
      </c>
    </row>
    <row r="2" spans="1:6" ht="14.4" customHeight="1" x14ac:dyDescent="0.3">
      <c r="A2" s="1">
        <v>0</v>
      </c>
      <c r="B2">
        <v>206693</v>
      </c>
      <c r="C2">
        <v>206718</v>
      </c>
      <c r="D2" s="1">
        <v>1</v>
      </c>
      <c r="F2">
        <f>COUNTIF(D:D,0)</f>
        <v>1094</v>
      </c>
    </row>
    <row r="3" spans="1:6" ht="14.4" customHeight="1" x14ac:dyDescent="0.3">
      <c r="A3" s="1">
        <v>1</v>
      </c>
      <c r="B3">
        <v>206693</v>
      </c>
      <c r="C3">
        <v>206706</v>
      </c>
      <c r="D3" s="1">
        <v>0</v>
      </c>
      <c r="F3">
        <f>COUNTIF(D:D,1)</f>
        <v>29</v>
      </c>
    </row>
    <row r="4" spans="1:6" ht="14.4" customHeight="1" x14ac:dyDescent="0.3">
      <c r="A4" s="1">
        <v>2</v>
      </c>
      <c r="B4">
        <v>206693</v>
      </c>
      <c r="C4">
        <v>205891</v>
      </c>
      <c r="D4" s="1">
        <v>0</v>
      </c>
      <c r="F4">
        <f>COUNTIF(D:D,2)</f>
        <v>21</v>
      </c>
    </row>
    <row r="5" spans="1:6" ht="14.4" customHeight="1" x14ac:dyDescent="0.3">
      <c r="A5" s="1">
        <v>3</v>
      </c>
      <c r="B5">
        <v>206693</v>
      </c>
      <c r="C5">
        <v>205662</v>
      </c>
      <c r="D5" s="1">
        <v>0</v>
      </c>
      <c r="F5">
        <f>COUNTIF(D:D,3)</f>
        <v>23</v>
      </c>
    </row>
    <row r="6" spans="1:6" ht="14.4" customHeight="1" x14ac:dyDescent="0.3">
      <c r="A6" s="1">
        <v>4</v>
      </c>
      <c r="B6">
        <v>206693</v>
      </c>
      <c r="C6">
        <v>222053</v>
      </c>
      <c r="D6" s="1">
        <v>0</v>
      </c>
      <c r="F6">
        <f>COUNTIF(D:D,4)</f>
        <v>17</v>
      </c>
    </row>
    <row r="7" spans="1:6" ht="14.4" customHeight="1" x14ac:dyDescent="0.3">
      <c r="A7" s="1">
        <v>5</v>
      </c>
      <c r="B7">
        <v>206693</v>
      </c>
      <c r="C7">
        <v>222078</v>
      </c>
      <c r="D7" s="1">
        <v>0</v>
      </c>
      <c r="F7">
        <f>COUNTIF(D:D,5)</f>
        <v>41</v>
      </c>
    </row>
    <row r="8" spans="1:6" ht="14.4" customHeight="1" x14ac:dyDescent="0.3">
      <c r="A8" s="1">
        <v>6</v>
      </c>
      <c r="B8">
        <v>206693</v>
      </c>
      <c r="C8">
        <v>205269</v>
      </c>
      <c r="D8" s="1">
        <v>3</v>
      </c>
    </row>
    <row r="9" spans="1:6" ht="14.4" customHeight="1" x14ac:dyDescent="0.3">
      <c r="A9" s="1">
        <v>7</v>
      </c>
      <c r="B9">
        <v>206693</v>
      </c>
      <c r="C9">
        <v>209506</v>
      </c>
      <c r="D9" s="1">
        <v>0</v>
      </c>
    </row>
    <row r="10" spans="1:6" ht="14.4" customHeight="1" x14ac:dyDescent="0.3">
      <c r="A10" s="1">
        <v>8</v>
      </c>
      <c r="B10">
        <v>206693</v>
      </c>
      <c r="C10">
        <v>208480</v>
      </c>
      <c r="D10" s="1">
        <v>0</v>
      </c>
    </row>
    <row r="11" spans="1:6" ht="14.4" customHeight="1" x14ac:dyDescent="0.3">
      <c r="A11" s="1">
        <v>9</v>
      </c>
      <c r="B11">
        <v>206693</v>
      </c>
      <c r="C11">
        <v>207468</v>
      </c>
      <c r="D11" s="1">
        <v>3</v>
      </c>
    </row>
    <row r="12" spans="1:6" ht="14.4" customHeight="1" x14ac:dyDescent="0.3">
      <c r="A12" s="1">
        <v>10</v>
      </c>
      <c r="B12">
        <v>206693</v>
      </c>
      <c r="C12">
        <v>208011</v>
      </c>
      <c r="D12" s="1">
        <v>5</v>
      </c>
    </row>
    <row r="13" spans="1:6" ht="14.4" customHeight="1" x14ac:dyDescent="0.3">
      <c r="A13" s="1">
        <v>11</v>
      </c>
      <c r="B13">
        <v>206693</v>
      </c>
      <c r="C13">
        <v>208596</v>
      </c>
      <c r="D13" s="1">
        <v>0</v>
      </c>
    </row>
    <row r="14" spans="1:6" ht="14.4" customHeight="1" x14ac:dyDescent="0.3">
      <c r="A14" s="1">
        <v>12</v>
      </c>
      <c r="B14">
        <v>206693</v>
      </c>
      <c r="C14">
        <v>207967</v>
      </c>
      <c r="D14" s="1">
        <v>0</v>
      </c>
    </row>
    <row r="15" spans="1:6" ht="14.4" customHeight="1" x14ac:dyDescent="0.3">
      <c r="A15" s="1">
        <v>13</v>
      </c>
      <c r="B15">
        <v>206693</v>
      </c>
      <c r="C15">
        <v>222079</v>
      </c>
      <c r="D15" s="1">
        <v>0</v>
      </c>
    </row>
    <row r="16" spans="1:6" ht="14.4" customHeight="1" x14ac:dyDescent="0.3">
      <c r="A16" s="1">
        <v>14</v>
      </c>
      <c r="B16">
        <v>206693</v>
      </c>
      <c r="C16">
        <v>207633</v>
      </c>
      <c r="D16" s="1">
        <v>0</v>
      </c>
    </row>
    <row r="17" spans="1:4" ht="14.4" customHeight="1" x14ac:dyDescent="0.3">
      <c r="A17" s="1">
        <v>15</v>
      </c>
      <c r="B17">
        <v>206693</v>
      </c>
      <c r="C17">
        <v>206764</v>
      </c>
      <c r="D17" s="1">
        <v>0</v>
      </c>
    </row>
    <row r="18" spans="1:4" ht="14.4" customHeight="1" x14ac:dyDescent="0.3">
      <c r="A18" s="1">
        <v>16</v>
      </c>
      <c r="B18">
        <v>206693</v>
      </c>
      <c r="C18">
        <v>222054</v>
      </c>
      <c r="D18" s="1">
        <v>0</v>
      </c>
    </row>
    <row r="19" spans="1:4" ht="14.4" customHeight="1" x14ac:dyDescent="0.3">
      <c r="A19" s="1">
        <v>17</v>
      </c>
      <c r="B19">
        <v>206693</v>
      </c>
      <c r="C19">
        <v>209176</v>
      </c>
      <c r="D19" s="1">
        <v>0</v>
      </c>
    </row>
    <row r="20" spans="1:4" ht="14.4" customHeight="1" x14ac:dyDescent="0.3">
      <c r="A20" s="1">
        <v>18</v>
      </c>
      <c r="B20">
        <v>206693</v>
      </c>
      <c r="C20">
        <v>205075</v>
      </c>
      <c r="D20" s="1">
        <v>0</v>
      </c>
    </row>
    <row r="21" spans="1:4" ht="14.4" customHeight="1" x14ac:dyDescent="0.3">
      <c r="A21" s="1">
        <v>19</v>
      </c>
      <c r="B21">
        <v>206693</v>
      </c>
      <c r="C21">
        <v>206937</v>
      </c>
      <c r="D21" s="1">
        <v>0</v>
      </c>
    </row>
    <row r="22" spans="1:4" ht="14.4" customHeight="1" x14ac:dyDescent="0.3">
      <c r="A22" s="1">
        <v>20</v>
      </c>
      <c r="B22">
        <v>206693</v>
      </c>
      <c r="C22">
        <v>207758</v>
      </c>
      <c r="D22" s="1">
        <v>0</v>
      </c>
    </row>
    <row r="23" spans="1:4" ht="14.4" customHeight="1" x14ac:dyDescent="0.3">
      <c r="A23" s="1">
        <v>21</v>
      </c>
      <c r="B23">
        <v>206693</v>
      </c>
      <c r="C23">
        <v>208043</v>
      </c>
      <c r="D23" s="1">
        <v>0</v>
      </c>
    </row>
    <row r="24" spans="1:4" ht="14.4" customHeight="1" x14ac:dyDescent="0.3">
      <c r="A24" s="1">
        <v>22</v>
      </c>
      <c r="B24">
        <v>206693</v>
      </c>
      <c r="C24">
        <v>206905</v>
      </c>
      <c r="D24" s="1">
        <v>0</v>
      </c>
    </row>
    <row r="25" spans="1:4" ht="14.4" customHeight="1" x14ac:dyDescent="0.3">
      <c r="A25" s="1">
        <v>23</v>
      </c>
      <c r="B25">
        <v>206693</v>
      </c>
      <c r="C25">
        <v>222044</v>
      </c>
      <c r="D25" s="1">
        <v>0</v>
      </c>
    </row>
    <row r="26" spans="1:4" ht="14.4" customHeight="1" x14ac:dyDescent="0.3">
      <c r="A26" s="1">
        <v>24</v>
      </c>
      <c r="B26">
        <v>206693</v>
      </c>
      <c r="C26">
        <v>206770</v>
      </c>
      <c r="D26" s="1">
        <v>0</v>
      </c>
    </row>
    <row r="27" spans="1:4" ht="14.4" customHeight="1" x14ac:dyDescent="0.3">
      <c r="A27" s="1">
        <v>25</v>
      </c>
      <c r="B27">
        <v>206693</v>
      </c>
      <c r="C27">
        <v>206841</v>
      </c>
      <c r="D27" s="1">
        <v>0</v>
      </c>
    </row>
    <row r="28" spans="1:4" ht="14.4" customHeight="1" x14ac:dyDescent="0.3">
      <c r="A28" s="1">
        <v>26</v>
      </c>
      <c r="B28">
        <v>206693</v>
      </c>
      <c r="C28">
        <v>209266</v>
      </c>
      <c r="D28" s="1">
        <v>5</v>
      </c>
    </row>
    <row r="29" spans="1:4" ht="14.4" customHeight="1" x14ac:dyDescent="0.3">
      <c r="A29" s="1">
        <v>27</v>
      </c>
      <c r="B29">
        <v>206693</v>
      </c>
      <c r="C29">
        <v>232847</v>
      </c>
      <c r="D29" s="1">
        <v>0</v>
      </c>
    </row>
    <row r="30" spans="1:4" ht="14.4" customHeight="1" x14ac:dyDescent="0.3">
      <c r="A30" s="1">
        <v>28</v>
      </c>
      <c r="B30">
        <v>206693</v>
      </c>
      <c r="C30">
        <v>209136</v>
      </c>
      <c r="D30" s="1">
        <v>0</v>
      </c>
    </row>
    <row r="31" spans="1:4" ht="14.4" customHeight="1" x14ac:dyDescent="0.3">
      <c r="A31" s="1">
        <v>29</v>
      </c>
      <c r="B31">
        <v>206693</v>
      </c>
      <c r="C31">
        <v>207077</v>
      </c>
      <c r="D31" s="1">
        <v>0</v>
      </c>
    </row>
    <row r="32" spans="1:4" ht="14.4" customHeight="1" x14ac:dyDescent="0.3">
      <c r="A32" s="1">
        <v>30</v>
      </c>
      <c r="B32">
        <v>206693</v>
      </c>
      <c r="C32">
        <v>206148</v>
      </c>
      <c r="D32" s="1">
        <v>0</v>
      </c>
    </row>
    <row r="33" spans="1:4" ht="14.4" customHeight="1" x14ac:dyDescent="0.3">
      <c r="A33" s="1">
        <v>31</v>
      </c>
      <c r="B33">
        <v>206693</v>
      </c>
      <c r="C33">
        <v>208776</v>
      </c>
      <c r="D33" s="1">
        <v>0</v>
      </c>
    </row>
    <row r="34" spans="1:4" ht="14.4" customHeight="1" x14ac:dyDescent="0.3">
      <c r="A34" s="1">
        <v>32</v>
      </c>
      <c r="B34">
        <v>206693</v>
      </c>
      <c r="C34">
        <v>205551</v>
      </c>
      <c r="D34" s="1">
        <v>5</v>
      </c>
    </row>
    <row r="35" spans="1:4" ht="14.4" customHeight="1" x14ac:dyDescent="0.3">
      <c r="A35" s="1">
        <v>33</v>
      </c>
      <c r="B35">
        <v>206693</v>
      </c>
      <c r="C35">
        <v>208485</v>
      </c>
      <c r="D35" s="1">
        <v>0</v>
      </c>
    </row>
    <row r="36" spans="1:4" ht="14.4" customHeight="1" x14ac:dyDescent="0.3">
      <c r="A36" s="1">
        <v>34</v>
      </c>
      <c r="B36">
        <v>206693</v>
      </c>
      <c r="C36">
        <v>206280</v>
      </c>
      <c r="D36" s="1">
        <v>0</v>
      </c>
    </row>
    <row r="37" spans="1:4" ht="14.4" customHeight="1" x14ac:dyDescent="0.3">
      <c r="A37" s="1">
        <v>35</v>
      </c>
      <c r="B37">
        <v>206693</v>
      </c>
      <c r="C37">
        <v>205750</v>
      </c>
      <c r="D37" s="1">
        <v>0</v>
      </c>
    </row>
    <row r="38" spans="1:4" ht="14.4" customHeight="1" x14ac:dyDescent="0.3">
      <c r="A38" s="1">
        <v>36</v>
      </c>
      <c r="B38">
        <v>206693</v>
      </c>
      <c r="C38">
        <v>208622</v>
      </c>
      <c r="D38" s="1">
        <v>0</v>
      </c>
    </row>
    <row r="39" spans="1:4" ht="14.4" customHeight="1" x14ac:dyDescent="0.3">
      <c r="A39" s="1">
        <v>37</v>
      </c>
      <c r="B39">
        <v>206693</v>
      </c>
      <c r="C39">
        <v>208657</v>
      </c>
      <c r="D39" s="1">
        <v>0</v>
      </c>
    </row>
    <row r="40" spans="1:4" ht="14.4" customHeight="1" x14ac:dyDescent="0.3">
      <c r="A40" s="1">
        <v>38</v>
      </c>
      <c r="B40">
        <v>206693</v>
      </c>
      <c r="C40">
        <v>209385</v>
      </c>
      <c r="D40" s="1">
        <v>3</v>
      </c>
    </row>
    <row r="41" spans="1:4" ht="14.4" customHeight="1" x14ac:dyDescent="0.3">
      <c r="A41" s="1">
        <v>39</v>
      </c>
      <c r="B41">
        <v>206693</v>
      </c>
      <c r="C41">
        <v>205505</v>
      </c>
      <c r="D41" s="1">
        <v>0</v>
      </c>
    </row>
    <row r="42" spans="1:4" ht="14.4" customHeight="1" x14ac:dyDescent="0.3">
      <c r="A42" s="1">
        <v>40</v>
      </c>
      <c r="B42">
        <v>206693</v>
      </c>
      <c r="C42">
        <v>207238</v>
      </c>
      <c r="D42" s="1">
        <v>0</v>
      </c>
    </row>
    <row r="43" spans="1:4" ht="14.4" customHeight="1" x14ac:dyDescent="0.3">
      <c r="A43" s="1">
        <v>41</v>
      </c>
      <c r="B43">
        <v>206693</v>
      </c>
      <c r="C43">
        <v>207561</v>
      </c>
      <c r="D43" s="1">
        <v>0</v>
      </c>
    </row>
    <row r="44" spans="1:4" ht="14.4" customHeight="1" x14ac:dyDescent="0.3">
      <c r="A44" s="1">
        <v>42</v>
      </c>
      <c r="B44">
        <v>206693</v>
      </c>
      <c r="C44">
        <v>206872</v>
      </c>
      <c r="D44" s="1">
        <v>0</v>
      </c>
    </row>
    <row r="45" spans="1:4" ht="14.4" customHeight="1" x14ac:dyDescent="0.3">
      <c r="A45" s="1">
        <v>43</v>
      </c>
      <c r="B45">
        <v>206693</v>
      </c>
      <c r="C45">
        <v>208511</v>
      </c>
      <c r="D45" s="1">
        <v>0</v>
      </c>
    </row>
    <row r="46" spans="1:4" ht="14.4" customHeight="1" x14ac:dyDescent="0.3">
      <c r="A46" s="1">
        <v>44</v>
      </c>
      <c r="B46">
        <v>206693</v>
      </c>
      <c r="C46">
        <v>222031</v>
      </c>
      <c r="D46" s="1">
        <v>0</v>
      </c>
    </row>
    <row r="47" spans="1:4" ht="14.4" customHeight="1" x14ac:dyDescent="0.3">
      <c r="A47" s="1">
        <v>45</v>
      </c>
      <c r="B47">
        <v>206693</v>
      </c>
      <c r="C47">
        <v>209491</v>
      </c>
      <c r="D47" s="1">
        <v>3</v>
      </c>
    </row>
    <row r="48" spans="1:4" ht="14.4" customHeight="1" x14ac:dyDescent="0.3">
      <c r="A48" s="1">
        <v>46</v>
      </c>
      <c r="B48">
        <v>206693</v>
      </c>
      <c r="C48">
        <v>208624</v>
      </c>
      <c r="D48" s="1">
        <v>0</v>
      </c>
    </row>
    <row r="49" spans="1:4" ht="14.4" customHeight="1" x14ac:dyDescent="0.3">
      <c r="A49" s="1">
        <v>47</v>
      </c>
      <c r="B49">
        <v>206693</v>
      </c>
      <c r="C49">
        <v>207259</v>
      </c>
      <c r="D49" s="1">
        <v>0</v>
      </c>
    </row>
    <row r="50" spans="1:4" ht="14.4" customHeight="1" x14ac:dyDescent="0.3">
      <c r="A50" s="1">
        <v>48</v>
      </c>
      <c r="B50">
        <v>206693</v>
      </c>
      <c r="C50">
        <v>208777</v>
      </c>
      <c r="D50" s="1">
        <v>0</v>
      </c>
    </row>
    <row r="51" spans="1:4" ht="14.4" customHeight="1" x14ac:dyDescent="0.3">
      <c r="A51" s="1">
        <v>49</v>
      </c>
      <c r="B51">
        <v>206718</v>
      </c>
      <c r="C51">
        <v>206706</v>
      </c>
      <c r="D51" s="1">
        <v>0</v>
      </c>
    </row>
    <row r="52" spans="1:4" ht="14.4" customHeight="1" x14ac:dyDescent="0.3">
      <c r="A52" s="1">
        <v>50</v>
      </c>
      <c r="B52">
        <v>206718</v>
      </c>
      <c r="C52">
        <v>205891</v>
      </c>
      <c r="D52" s="1">
        <v>0</v>
      </c>
    </row>
    <row r="53" spans="1:4" ht="14.4" customHeight="1" x14ac:dyDescent="0.3">
      <c r="A53" s="1">
        <v>51</v>
      </c>
      <c r="B53">
        <v>206718</v>
      </c>
      <c r="C53">
        <v>205662</v>
      </c>
      <c r="D53" s="1">
        <v>0</v>
      </c>
    </row>
    <row r="54" spans="1:4" ht="14.4" customHeight="1" x14ac:dyDescent="0.3">
      <c r="A54" s="1">
        <v>52</v>
      </c>
      <c r="B54">
        <v>206718</v>
      </c>
      <c r="C54">
        <v>222053</v>
      </c>
      <c r="D54" s="1">
        <v>0</v>
      </c>
    </row>
    <row r="55" spans="1:4" ht="14.4" customHeight="1" x14ac:dyDescent="0.3">
      <c r="A55" s="1">
        <v>53</v>
      </c>
      <c r="B55">
        <v>206718</v>
      </c>
      <c r="C55">
        <v>222078</v>
      </c>
      <c r="D55" s="1">
        <v>0</v>
      </c>
    </row>
    <row r="56" spans="1:4" ht="14.4" customHeight="1" x14ac:dyDescent="0.3">
      <c r="A56" s="1">
        <v>54</v>
      </c>
      <c r="B56">
        <v>206718</v>
      </c>
      <c r="C56">
        <v>205269</v>
      </c>
      <c r="D56" s="1">
        <v>0</v>
      </c>
    </row>
    <row r="57" spans="1:4" ht="14.4" customHeight="1" x14ac:dyDescent="0.3">
      <c r="A57" s="1">
        <v>55</v>
      </c>
      <c r="B57">
        <v>206718</v>
      </c>
      <c r="C57">
        <v>209506</v>
      </c>
      <c r="D57" s="1">
        <v>0</v>
      </c>
    </row>
    <row r="58" spans="1:4" ht="14.4" customHeight="1" x14ac:dyDescent="0.3">
      <c r="A58" s="1">
        <v>56</v>
      </c>
      <c r="B58">
        <v>206718</v>
      </c>
      <c r="C58">
        <v>208480</v>
      </c>
      <c r="D58" s="1">
        <v>0</v>
      </c>
    </row>
    <row r="59" spans="1:4" ht="14.4" customHeight="1" x14ac:dyDescent="0.3">
      <c r="A59" s="1">
        <v>57</v>
      </c>
      <c r="B59">
        <v>206718</v>
      </c>
      <c r="C59">
        <v>207468</v>
      </c>
      <c r="D59" s="1">
        <v>4</v>
      </c>
    </row>
    <row r="60" spans="1:4" ht="14.4" customHeight="1" x14ac:dyDescent="0.3">
      <c r="A60" s="1">
        <v>58</v>
      </c>
      <c r="B60">
        <v>206718</v>
      </c>
      <c r="C60">
        <v>208011</v>
      </c>
      <c r="D60" s="1">
        <v>3</v>
      </c>
    </row>
    <row r="61" spans="1:4" ht="14.4" customHeight="1" x14ac:dyDescent="0.3">
      <c r="A61" s="1">
        <v>59</v>
      </c>
      <c r="B61">
        <v>206718</v>
      </c>
      <c r="C61">
        <v>208596</v>
      </c>
      <c r="D61" s="1">
        <v>0</v>
      </c>
    </row>
    <row r="62" spans="1:4" ht="14.4" customHeight="1" x14ac:dyDescent="0.3">
      <c r="A62" s="1">
        <v>60</v>
      </c>
      <c r="B62">
        <v>206718</v>
      </c>
      <c r="C62">
        <v>207967</v>
      </c>
      <c r="D62" s="1">
        <v>0</v>
      </c>
    </row>
    <row r="63" spans="1:4" ht="14.4" customHeight="1" x14ac:dyDescent="0.3">
      <c r="A63" s="1">
        <v>61</v>
      </c>
      <c r="B63">
        <v>206718</v>
      </c>
      <c r="C63">
        <v>222079</v>
      </c>
      <c r="D63" s="1">
        <v>0</v>
      </c>
    </row>
    <row r="64" spans="1:4" ht="14.4" customHeight="1" x14ac:dyDescent="0.3">
      <c r="A64" s="1">
        <v>62</v>
      </c>
      <c r="B64">
        <v>206718</v>
      </c>
      <c r="C64">
        <v>207633</v>
      </c>
      <c r="D64" s="1">
        <v>0</v>
      </c>
    </row>
    <row r="65" spans="1:4" ht="14.4" customHeight="1" x14ac:dyDescent="0.3">
      <c r="A65" s="1">
        <v>63</v>
      </c>
      <c r="B65">
        <v>206718</v>
      </c>
      <c r="C65">
        <v>206764</v>
      </c>
      <c r="D65" s="1">
        <v>0</v>
      </c>
    </row>
    <row r="66" spans="1:4" ht="14.4" customHeight="1" x14ac:dyDescent="0.3">
      <c r="A66" s="1">
        <v>64</v>
      </c>
      <c r="B66">
        <v>206718</v>
      </c>
      <c r="C66">
        <v>222054</v>
      </c>
      <c r="D66" s="1">
        <v>0</v>
      </c>
    </row>
    <row r="67" spans="1:4" ht="14.4" customHeight="1" x14ac:dyDescent="0.3">
      <c r="A67" s="1">
        <v>65</v>
      </c>
      <c r="B67">
        <v>206718</v>
      </c>
      <c r="C67">
        <v>209176</v>
      </c>
      <c r="D67" s="1">
        <v>0</v>
      </c>
    </row>
    <row r="68" spans="1:4" ht="14.4" customHeight="1" x14ac:dyDescent="0.3">
      <c r="A68" s="1">
        <v>66</v>
      </c>
      <c r="B68">
        <v>206718</v>
      </c>
      <c r="C68">
        <v>205075</v>
      </c>
      <c r="D68" s="1">
        <v>0</v>
      </c>
    </row>
    <row r="69" spans="1:4" ht="14.4" customHeight="1" x14ac:dyDescent="0.3">
      <c r="A69" s="1">
        <v>67</v>
      </c>
      <c r="B69">
        <v>206718</v>
      </c>
      <c r="C69">
        <v>206937</v>
      </c>
      <c r="D69" s="1">
        <v>0</v>
      </c>
    </row>
    <row r="70" spans="1:4" ht="14.4" customHeight="1" x14ac:dyDescent="0.3">
      <c r="A70" s="1">
        <v>68</v>
      </c>
      <c r="B70">
        <v>206718</v>
      </c>
      <c r="C70">
        <v>207758</v>
      </c>
      <c r="D70" s="1">
        <v>0</v>
      </c>
    </row>
    <row r="71" spans="1:4" ht="14.4" customHeight="1" x14ac:dyDescent="0.3">
      <c r="A71" s="1">
        <v>69</v>
      </c>
      <c r="B71">
        <v>206718</v>
      </c>
      <c r="C71">
        <v>208043</v>
      </c>
      <c r="D71" s="1">
        <v>0</v>
      </c>
    </row>
    <row r="72" spans="1:4" ht="14.4" customHeight="1" x14ac:dyDescent="0.3">
      <c r="A72" s="1">
        <v>70</v>
      </c>
      <c r="B72">
        <v>206718</v>
      </c>
      <c r="C72">
        <v>206905</v>
      </c>
      <c r="D72" s="1">
        <v>0</v>
      </c>
    </row>
    <row r="73" spans="1:4" ht="14.4" customHeight="1" x14ac:dyDescent="0.3">
      <c r="A73" s="1">
        <v>71</v>
      </c>
      <c r="B73">
        <v>206718</v>
      </c>
      <c r="C73">
        <v>222044</v>
      </c>
      <c r="D73" s="1">
        <v>0</v>
      </c>
    </row>
    <row r="74" spans="1:4" ht="14.4" customHeight="1" x14ac:dyDescent="0.3">
      <c r="A74" s="1">
        <v>72</v>
      </c>
      <c r="B74">
        <v>206718</v>
      </c>
      <c r="C74">
        <v>206770</v>
      </c>
      <c r="D74" s="1">
        <v>0</v>
      </c>
    </row>
    <row r="75" spans="1:4" ht="14.4" customHeight="1" x14ac:dyDescent="0.3">
      <c r="A75" s="1">
        <v>73</v>
      </c>
      <c r="B75">
        <v>206718</v>
      </c>
      <c r="C75">
        <v>206841</v>
      </c>
      <c r="D75" s="1">
        <v>0</v>
      </c>
    </row>
    <row r="76" spans="1:4" ht="14.4" customHeight="1" x14ac:dyDescent="0.3">
      <c r="A76" s="1">
        <v>74</v>
      </c>
      <c r="B76">
        <v>206718</v>
      </c>
      <c r="C76">
        <v>209266</v>
      </c>
      <c r="D76" s="1">
        <v>3</v>
      </c>
    </row>
    <row r="77" spans="1:4" ht="14.4" customHeight="1" x14ac:dyDescent="0.3">
      <c r="A77" s="1">
        <v>75</v>
      </c>
      <c r="B77">
        <v>206718</v>
      </c>
      <c r="C77">
        <v>232847</v>
      </c>
      <c r="D77" s="1">
        <v>0</v>
      </c>
    </row>
    <row r="78" spans="1:4" ht="14.4" customHeight="1" x14ac:dyDescent="0.3">
      <c r="A78" s="1">
        <v>76</v>
      </c>
      <c r="B78">
        <v>206718</v>
      </c>
      <c r="C78">
        <v>209136</v>
      </c>
      <c r="D78" s="1">
        <v>0</v>
      </c>
    </row>
    <row r="79" spans="1:4" ht="14.4" customHeight="1" x14ac:dyDescent="0.3">
      <c r="A79" s="1">
        <v>77</v>
      </c>
      <c r="B79">
        <v>206718</v>
      </c>
      <c r="C79">
        <v>207077</v>
      </c>
      <c r="D79" s="1">
        <v>0</v>
      </c>
    </row>
    <row r="80" spans="1:4" ht="14.4" customHeight="1" x14ac:dyDescent="0.3">
      <c r="A80" s="1">
        <v>78</v>
      </c>
      <c r="B80">
        <v>206718</v>
      </c>
      <c r="C80">
        <v>206148</v>
      </c>
      <c r="D80" s="1">
        <v>0</v>
      </c>
    </row>
    <row r="81" spans="1:4" ht="14.4" customHeight="1" x14ac:dyDescent="0.3">
      <c r="A81" s="1">
        <v>79</v>
      </c>
      <c r="B81">
        <v>206718</v>
      </c>
      <c r="C81">
        <v>208776</v>
      </c>
      <c r="D81" s="1">
        <v>0</v>
      </c>
    </row>
    <row r="82" spans="1:4" ht="14.4" customHeight="1" x14ac:dyDescent="0.3">
      <c r="A82" s="1">
        <v>80</v>
      </c>
      <c r="B82">
        <v>206718</v>
      </c>
      <c r="C82">
        <v>205551</v>
      </c>
      <c r="D82" s="1">
        <v>3</v>
      </c>
    </row>
    <row r="83" spans="1:4" ht="14.4" customHeight="1" x14ac:dyDescent="0.3">
      <c r="A83" s="1">
        <v>81</v>
      </c>
      <c r="B83">
        <v>206718</v>
      </c>
      <c r="C83">
        <v>208485</v>
      </c>
      <c r="D83" s="1">
        <v>0</v>
      </c>
    </row>
    <row r="84" spans="1:4" ht="14.4" customHeight="1" x14ac:dyDescent="0.3">
      <c r="A84" s="1">
        <v>82</v>
      </c>
      <c r="B84">
        <v>206718</v>
      </c>
      <c r="C84">
        <v>206280</v>
      </c>
      <c r="D84" s="1">
        <v>4</v>
      </c>
    </row>
    <row r="85" spans="1:4" ht="14.4" customHeight="1" x14ac:dyDescent="0.3">
      <c r="A85" s="1">
        <v>83</v>
      </c>
      <c r="B85">
        <v>206718</v>
      </c>
      <c r="C85">
        <v>205750</v>
      </c>
      <c r="D85" s="1">
        <v>0</v>
      </c>
    </row>
    <row r="86" spans="1:4" ht="14.4" customHeight="1" x14ac:dyDescent="0.3">
      <c r="A86" s="1">
        <v>84</v>
      </c>
      <c r="B86">
        <v>206718</v>
      </c>
      <c r="C86">
        <v>208622</v>
      </c>
      <c r="D86" s="1">
        <v>0</v>
      </c>
    </row>
    <row r="87" spans="1:4" ht="14.4" customHeight="1" x14ac:dyDescent="0.3">
      <c r="A87" s="1">
        <v>85</v>
      </c>
      <c r="B87">
        <v>206718</v>
      </c>
      <c r="C87">
        <v>208657</v>
      </c>
      <c r="D87" s="1">
        <v>0</v>
      </c>
    </row>
    <row r="88" spans="1:4" ht="14.4" customHeight="1" x14ac:dyDescent="0.3">
      <c r="A88" s="1">
        <v>86</v>
      </c>
      <c r="B88">
        <v>206718</v>
      </c>
      <c r="C88">
        <v>209385</v>
      </c>
      <c r="D88" s="1">
        <v>2</v>
      </c>
    </row>
    <row r="89" spans="1:4" ht="14.4" customHeight="1" x14ac:dyDescent="0.3">
      <c r="A89" s="1">
        <v>87</v>
      </c>
      <c r="B89">
        <v>206718</v>
      </c>
      <c r="C89">
        <v>205505</v>
      </c>
      <c r="D89" s="1">
        <v>0</v>
      </c>
    </row>
    <row r="90" spans="1:4" ht="14.4" customHeight="1" x14ac:dyDescent="0.3">
      <c r="A90" s="1">
        <v>88</v>
      </c>
      <c r="B90">
        <v>206718</v>
      </c>
      <c r="C90">
        <v>207238</v>
      </c>
      <c r="D90" s="1">
        <v>0</v>
      </c>
    </row>
    <row r="91" spans="1:4" ht="14.4" customHeight="1" x14ac:dyDescent="0.3">
      <c r="A91" s="1">
        <v>89</v>
      </c>
      <c r="B91">
        <v>206718</v>
      </c>
      <c r="C91">
        <v>207561</v>
      </c>
      <c r="D91" s="1">
        <v>0</v>
      </c>
    </row>
    <row r="92" spans="1:4" ht="14.4" customHeight="1" x14ac:dyDescent="0.3">
      <c r="A92" s="1">
        <v>90</v>
      </c>
      <c r="B92">
        <v>206718</v>
      </c>
      <c r="C92">
        <v>206872</v>
      </c>
      <c r="D92" s="1">
        <v>0</v>
      </c>
    </row>
    <row r="93" spans="1:4" ht="14.4" customHeight="1" x14ac:dyDescent="0.3">
      <c r="A93" s="1">
        <v>91</v>
      </c>
      <c r="B93">
        <v>206718</v>
      </c>
      <c r="C93">
        <v>208511</v>
      </c>
      <c r="D93" s="1">
        <v>0</v>
      </c>
    </row>
    <row r="94" spans="1:4" ht="14.4" customHeight="1" x14ac:dyDescent="0.3">
      <c r="A94" s="1">
        <v>92</v>
      </c>
      <c r="B94">
        <v>206718</v>
      </c>
      <c r="C94">
        <v>222031</v>
      </c>
      <c r="D94" s="1">
        <v>0</v>
      </c>
    </row>
    <row r="95" spans="1:4" ht="14.4" customHeight="1" x14ac:dyDescent="0.3">
      <c r="A95" s="1">
        <v>93</v>
      </c>
      <c r="B95">
        <v>206718</v>
      </c>
      <c r="C95">
        <v>209491</v>
      </c>
      <c r="D95" s="1">
        <v>2</v>
      </c>
    </row>
    <row r="96" spans="1:4" ht="14.4" customHeight="1" x14ac:dyDescent="0.3">
      <c r="A96" s="1">
        <v>94</v>
      </c>
      <c r="B96">
        <v>206718</v>
      </c>
      <c r="C96">
        <v>208624</v>
      </c>
      <c r="D96" s="1">
        <v>0</v>
      </c>
    </row>
    <row r="97" spans="1:4" ht="14.4" customHeight="1" x14ac:dyDescent="0.3">
      <c r="A97" s="1">
        <v>95</v>
      </c>
      <c r="B97">
        <v>206718</v>
      </c>
      <c r="C97">
        <v>207259</v>
      </c>
      <c r="D97" s="1">
        <v>0</v>
      </c>
    </row>
    <row r="98" spans="1:4" ht="14.4" customHeight="1" x14ac:dyDescent="0.3">
      <c r="A98" s="1">
        <v>96</v>
      </c>
      <c r="B98">
        <v>206718</v>
      </c>
      <c r="C98">
        <v>208777</v>
      </c>
      <c r="D98" s="1">
        <v>0</v>
      </c>
    </row>
    <row r="99" spans="1:4" ht="14.4" customHeight="1" x14ac:dyDescent="0.3">
      <c r="A99" s="1">
        <v>97</v>
      </c>
      <c r="B99">
        <v>206706</v>
      </c>
      <c r="C99">
        <v>205891</v>
      </c>
      <c r="D99" s="1">
        <v>0</v>
      </c>
    </row>
    <row r="100" spans="1:4" ht="14.4" customHeight="1" x14ac:dyDescent="0.3">
      <c r="A100" s="1">
        <v>98</v>
      </c>
      <c r="B100">
        <v>206706</v>
      </c>
      <c r="C100">
        <v>205662</v>
      </c>
      <c r="D100" s="1">
        <v>4</v>
      </c>
    </row>
    <row r="101" spans="1:4" ht="14.4" customHeight="1" x14ac:dyDescent="0.3">
      <c r="A101" s="1">
        <v>99</v>
      </c>
      <c r="B101">
        <v>206706</v>
      </c>
      <c r="C101">
        <v>222053</v>
      </c>
      <c r="D101" s="1">
        <v>5</v>
      </c>
    </row>
    <row r="102" spans="1:4" ht="14.4" customHeight="1" x14ac:dyDescent="0.3">
      <c r="A102" s="1">
        <v>100</v>
      </c>
      <c r="B102">
        <v>206706</v>
      </c>
      <c r="C102">
        <v>222078</v>
      </c>
      <c r="D102" s="1">
        <v>4</v>
      </c>
    </row>
    <row r="103" spans="1:4" ht="14.4" customHeight="1" x14ac:dyDescent="0.3">
      <c r="A103" s="1">
        <v>101</v>
      </c>
      <c r="B103">
        <v>206706</v>
      </c>
      <c r="C103">
        <v>205269</v>
      </c>
      <c r="D103" s="1">
        <v>0</v>
      </c>
    </row>
    <row r="104" spans="1:4" ht="14.4" customHeight="1" x14ac:dyDescent="0.3">
      <c r="A104" s="1">
        <v>102</v>
      </c>
      <c r="B104">
        <v>206706</v>
      </c>
      <c r="C104">
        <v>209506</v>
      </c>
      <c r="D104" s="1">
        <v>5</v>
      </c>
    </row>
    <row r="105" spans="1:4" ht="14.4" customHeight="1" x14ac:dyDescent="0.3">
      <c r="A105" s="1">
        <v>103</v>
      </c>
      <c r="B105">
        <v>206706</v>
      </c>
      <c r="C105">
        <v>208480</v>
      </c>
      <c r="D105" s="1">
        <v>0</v>
      </c>
    </row>
    <row r="106" spans="1:4" ht="14.4" customHeight="1" x14ac:dyDescent="0.3">
      <c r="A106" s="1">
        <v>104</v>
      </c>
      <c r="B106">
        <v>206706</v>
      </c>
      <c r="C106">
        <v>207468</v>
      </c>
      <c r="D106" s="1">
        <v>0</v>
      </c>
    </row>
    <row r="107" spans="1:4" ht="14.4" customHeight="1" x14ac:dyDescent="0.3">
      <c r="A107" s="1">
        <v>105</v>
      </c>
      <c r="B107">
        <v>206706</v>
      </c>
      <c r="C107">
        <v>208011</v>
      </c>
      <c r="D107" s="1">
        <v>0</v>
      </c>
    </row>
    <row r="108" spans="1:4" ht="14.4" customHeight="1" x14ac:dyDescent="0.3">
      <c r="A108" s="1">
        <v>106</v>
      </c>
      <c r="B108">
        <v>206706</v>
      </c>
      <c r="C108">
        <v>208596</v>
      </c>
      <c r="D108" s="1">
        <v>0</v>
      </c>
    </row>
    <row r="109" spans="1:4" ht="14.4" customHeight="1" x14ac:dyDescent="0.3">
      <c r="A109" s="1">
        <v>107</v>
      </c>
      <c r="B109">
        <v>206706</v>
      </c>
      <c r="C109">
        <v>207967</v>
      </c>
      <c r="D109" s="1">
        <v>0</v>
      </c>
    </row>
    <row r="110" spans="1:4" ht="14.4" customHeight="1" x14ac:dyDescent="0.3">
      <c r="A110" s="1">
        <v>108</v>
      </c>
      <c r="B110">
        <v>206706</v>
      </c>
      <c r="C110">
        <v>222079</v>
      </c>
      <c r="D110" s="1">
        <v>0</v>
      </c>
    </row>
    <row r="111" spans="1:4" ht="14.4" customHeight="1" x14ac:dyDescent="0.3">
      <c r="A111" s="1">
        <v>109</v>
      </c>
      <c r="B111">
        <v>206706</v>
      </c>
      <c r="C111">
        <v>207633</v>
      </c>
      <c r="D111" s="1">
        <v>0</v>
      </c>
    </row>
    <row r="112" spans="1:4" ht="14.4" customHeight="1" x14ac:dyDescent="0.3">
      <c r="A112" s="1">
        <v>110</v>
      </c>
      <c r="B112">
        <v>206706</v>
      </c>
      <c r="C112">
        <v>206764</v>
      </c>
      <c r="D112" s="1">
        <v>0</v>
      </c>
    </row>
    <row r="113" spans="1:4" ht="14.4" customHeight="1" x14ac:dyDescent="0.3">
      <c r="A113" s="1">
        <v>111</v>
      </c>
      <c r="B113">
        <v>206706</v>
      </c>
      <c r="C113">
        <v>222054</v>
      </c>
      <c r="D113" s="1">
        <v>0</v>
      </c>
    </row>
    <row r="114" spans="1:4" ht="14.4" customHeight="1" x14ac:dyDescent="0.3">
      <c r="A114" s="1">
        <v>112</v>
      </c>
      <c r="B114">
        <v>206706</v>
      </c>
      <c r="C114">
        <v>209176</v>
      </c>
      <c r="D114" s="1">
        <v>0</v>
      </c>
    </row>
    <row r="115" spans="1:4" ht="14.4" customHeight="1" x14ac:dyDescent="0.3">
      <c r="A115" s="1">
        <v>113</v>
      </c>
      <c r="B115">
        <v>206706</v>
      </c>
      <c r="C115">
        <v>205075</v>
      </c>
      <c r="D115" s="1">
        <v>0</v>
      </c>
    </row>
    <row r="116" spans="1:4" ht="14.4" customHeight="1" x14ac:dyDescent="0.3">
      <c r="A116" s="1">
        <v>114</v>
      </c>
      <c r="B116">
        <v>206706</v>
      </c>
      <c r="C116">
        <v>206937</v>
      </c>
      <c r="D116" s="1">
        <v>0</v>
      </c>
    </row>
    <row r="117" spans="1:4" ht="14.4" customHeight="1" x14ac:dyDescent="0.3">
      <c r="A117" s="1">
        <v>115</v>
      </c>
      <c r="B117">
        <v>206706</v>
      </c>
      <c r="C117">
        <v>207758</v>
      </c>
      <c r="D117" s="1">
        <v>0</v>
      </c>
    </row>
    <row r="118" spans="1:4" ht="14.4" customHeight="1" x14ac:dyDescent="0.3">
      <c r="A118" s="1">
        <v>116</v>
      </c>
      <c r="B118">
        <v>206706</v>
      </c>
      <c r="C118">
        <v>208043</v>
      </c>
      <c r="D118" s="1">
        <v>0</v>
      </c>
    </row>
    <row r="119" spans="1:4" ht="14.4" customHeight="1" x14ac:dyDescent="0.3">
      <c r="A119" s="1">
        <v>117</v>
      </c>
      <c r="B119">
        <v>206706</v>
      </c>
      <c r="C119">
        <v>206905</v>
      </c>
      <c r="D119" s="1">
        <v>0</v>
      </c>
    </row>
    <row r="120" spans="1:4" ht="14.4" customHeight="1" x14ac:dyDescent="0.3">
      <c r="A120" s="1">
        <v>118</v>
      </c>
      <c r="B120">
        <v>206706</v>
      </c>
      <c r="C120">
        <v>222044</v>
      </c>
      <c r="D120" s="1">
        <v>0</v>
      </c>
    </row>
    <row r="121" spans="1:4" ht="14.4" customHeight="1" x14ac:dyDescent="0.3">
      <c r="A121" s="1">
        <v>119</v>
      </c>
      <c r="B121">
        <v>206706</v>
      </c>
      <c r="C121">
        <v>206770</v>
      </c>
      <c r="D121" s="1">
        <v>0</v>
      </c>
    </row>
    <row r="122" spans="1:4" ht="14.4" customHeight="1" x14ac:dyDescent="0.3">
      <c r="A122" s="1">
        <v>120</v>
      </c>
      <c r="B122">
        <v>206706</v>
      </c>
      <c r="C122">
        <v>206841</v>
      </c>
      <c r="D122" s="1">
        <v>0</v>
      </c>
    </row>
    <row r="123" spans="1:4" ht="14.4" customHeight="1" x14ac:dyDescent="0.3">
      <c r="A123" s="1">
        <v>121</v>
      </c>
      <c r="B123">
        <v>206706</v>
      </c>
      <c r="C123">
        <v>209266</v>
      </c>
      <c r="D123" s="1">
        <v>0</v>
      </c>
    </row>
    <row r="124" spans="1:4" ht="14.4" customHeight="1" x14ac:dyDescent="0.3">
      <c r="A124" s="1">
        <v>122</v>
      </c>
      <c r="B124">
        <v>206706</v>
      </c>
      <c r="C124">
        <v>232847</v>
      </c>
      <c r="D124" s="1">
        <v>0</v>
      </c>
    </row>
    <row r="125" spans="1:4" ht="14.4" customHeight="1" x14ac:dyDescent="0.3">
      <c r="A125" s="1">
        <v>123</v>
      </c>
      <c r="B125">
        <v>206706</v>
      </c>
      <c r="C125">
        <v>209136</v>
      </c>
      <c r="D125" s="1">
        <v>0</v>
      </c>
    </row>
    <row r="126" spans="1:4" ht="14.4" customHeight="1" x14ac:dyDescent="0.3">
      <c r="A126" s="1">
        <v>124</v>
      </c>
      <c r="B126">
        <v>206706</v>
      </c>
      <c r="C126">
        <v>207077</v>
      </c>
      <c r="D126" s="1">
        <v>0</v>
      </c>
    </row>
    <row r="127" spans="1:4" ht="14.4" customHeight="1" x14ac:dyDescent="0.3">
      <c r="A127" s="1">
        <v>125</v>
      </c>
      <c r="B127">
        <v>206706</v>
      </c>
      <c r="C127">
        <v>206148</v>
      </c>
      <c r="D127" s="1">
        <v>5</v>
      </c>
    </row>
    <row r="128" spans="1:4" ht="14.4" customHeight="1" x14ac:dyDescent="0.3">
      <c r="A128" s="1">
        <v>126</v>
      </c>
      <c r="B128">
        <v>206706</v>
      </c>
      <c r="C128">
        <v>208776</v>
      </c>
      <c r="D128" s="1">
        <v>0</v>
      </c>
    </row>
    <row r="129" spans="1:4" ht="14.4" customHeight="1" x14ac:dyDescent="0.3">
      <c r="A129" s="1">
        <v>127</v>
      </c>
      <c r="B129">
        <v>206706</v>
      </c>
      <c r="C129">
        <v>205551</v>
      </c>
      <c r="D129" s="1">
        <v>0</v>
      </c>
    </row>
    <row r="130" spans="1:4" ht="14.4" customHeight="1" x14ac:dyDescent="0.3">
      <c r="A130" s="1">
        <v>128</v>
      </c>
      <c r="B130">
        <v>206706</v>
      </c>
      <c r="C130">
        <v>208485</v>
      </c>
      <c r="D130" s="1">
        <v>0</v>
      </c>
    </row>
    <row r="131" spans="1:4" ht="14.4" customHeight="1" x14ac:dyDescent="0.3">
      <c r="A131" s="1">
        <v>129</v>
      </c>
      <c r="B131">
        <v>206706</v>
      </c>
      <c r="C131">
        <v>206280</v>
      </c>
      <c r="D131" s="1">
        <v>0</v>
      </c>
    </row>
    <row r="132" spans="1:4" ht="14.4" customHeight="1" x14ac:dyDescent="0.3">
      <c r="A132" s="1">
        <v>130</v>
      </c>
      <c r="B132">
        <v>206706</v>
      </c>
      <c r="C132">
        <v>205750</v>
      </c>
      <c r="D132" s="1">
        <v>2</v>
      </c>
    </row>
    <row r="133" spans="1:4" ht="14.4" customHeight="1" x14ac:dyDescent="0.3">
      <c r="A133" s="1">
        <v>131</v>
      </c>
      <c r="B133">
        <v>206706</v>
      </c>
      <c r="C133">
        <v>208622</v>
      </c>
      <c r="D133" s="1">
        <v>0</v>
      </c>
    </row>
    <row r="134" spans="1:4" ht="14.4" customHeight="1" x14ac:dyDescent="0.3">
      <c r="A134" s="1">
        <v>132</v>
      </c>
      <c r="B134">
        <v>206706</v>
      </c>
      <c r="C134">
        <v>208657</v>
      </c>
      <c r="D134" s="1">
        <v>0</v>
      </c>
    </row>
    <row r="135" spans="1:4" ht="14.4" customHeight="1" x14ac:dyDescent="0.3">
      <c r="A135" s="1">
        <v>133</v>
      </c>
      <c r="B135">
        <v>206706</v>
      </c>
      <c r="C135">
        <v>209385</v>
      </c>
      <c r="D135" s="1">
        <v>0</v>
      </c>
    </row>
    <row r="136" spans="1:4" ht="14.4" customHeight="1" x14ac:dyDescent="0.3">
      <c r="A136" s="1">
        <v>134</v>
      </c>
      <c r="B136">
        <v>206706</v>
      </c>
      <c r="C136">
        <v>205505</v>
      </c>
      <c r="D136" s="1">
        <v>2</v>
      </c>
    </row>
    <row r="137" spans="1:4" ht="14.4" customHeight="1" x14ac:dyDescent="0.3">
      <c r="A137" s="1">
        <v>135</v>
      </c>
      <c r="B137">
        <v>206706</v>
      </c>
      <c r="C137">
        <v>207238</v>
      </c>
      <c r="D137" s="1">
        <v>0</v>
      </c>
    </row>
    <row r="138" spans="1:4" ht="14.4" customHeight="1" x14ac:dyDescent="0.3">
      <c r="A138" s="1">
        <v>136</v>
      </c>
      <c r="B138">
        <v>206706</v>
      </c>
      <c r="C138">
        <v>207561</v>
      </c>
      <c r="D138" s="1">
        <v>1</v>
      </c>
    </row>
    <row r="139" spans="1:4" ht="14.4" customHeight="1" x14ac:dyDescent="0.3">
      <c r="A139" s="1">
        <v>137</v>
      </c>
      <c r="B139">
        <v>206706</v>
      </c>
      <c r="C139">
        <v>206872</v>
      </c>
      <c r="D139" s="1">
        <v>0</v>
      </c>
    </row>
    <row r="140" spans="1:4" ht="14.4" customHeight="1" x14ac:dyDescent="0.3">
      <c r="A140" s="1">
        <v>138</v>
      </c>
      <c r="B140">
        <v>206706</v>
      </c>
      <c r="C140">
        <v>208511</v>
      </c>
      <c r="D140" s="1">
        <v>0</v>
      </c>
    </row>
    <row r="141" spans="1:4" ht="14.4" customHeight="1" x14ac:dyDescent="0.3">
      <c r="A141" s="1">
        <v>139</v>
      </c>
      <c r="B141">
        <v>206706</v>
      </c>
      <c r="C141">
        <v>222031</v>
      </c>
      <c r="D141" s="1">
        <v>5</v>
      </c>
    </row>
    <row r="142" spans="1:4" ht="14.4" customHeight="1" x14ac:dyDescent="0.3">
      <c r="A142" s="1">
        <v>140</v>
      </c>
      <c r="B142">
        <v>206706</v>
      </c>
      <c r="C142">
        <v>209491</v>
      </c>
      <c r="D142" s="1">
        <v>0</v>
      </c>
    </row>
    <row r="143" spans="1:4" ht="14.4" customHeight="1" x14ac:dyDescent="0.3">
      <c r="A143" s="1">
        <v>141</v>
      </c>
      <c r="B143">
        <v>206706</v>
      </c>
      <c r="C143">
        <v>208624</v>
      </c>
      <c r="D143" s="1">
        <v>0</v>
      </c>
    </row>
    <row r="144" spans="1:4" ht="14.4" customHeight="1" x14ac:dyDescent="0.3">
      <c r="A144" s="1">
        <v>142</v>
      </c>
      <c r="B144">
        <v>206706</v>
      </c>
      <c r="C144">
        <v>207259</v>
      </c>
      <c r="D144" s="1">
        <v>1</v>
      </c>
    </row>
    <row r="145" spans="1:4" ht="14.4" customHeight="1" x14ac:dyDescent="0.3">
      <c r="A145" s="1">
        <v>143</v>
      </c>
      <c r="B145">
        <v>206706</v>
      </c>
      <c r="C145">
        <v>208777</v>
      </c>
      <c r="D145" s="1">
        <v>0</v>
      </c>
    </row>
    <row r="146" spans="1:4" ht="14.4" customHeight="1" x14ac:dyDescent="0.3">
      <c r="A146" s="1">
        <v>144</v>
      </c>
      <c r="B146">
        <v>205891</v>
      </c>
      <c r="C146">
        <v>205662</v>
      </c>
      <c r="D146" s="1">
        <v>0</v>
      </c>
    </row>
    <row r="147" spans="1:4" ht="14.4" customHeight="1" x14ac:dyDescent="0.3">
      <c r="A147" s="1">
        <v>145</v>
      </c>
      <c r="B147">
        <v>205891</v>
      </c>
      <c r="C147">
        <v>222053</v>
      </c>
      <c r="D147" s="1">
        <v>0</v>
      </c>
    </row>
    <row r="148" spans="1:4" ht="14.4" customHeight="1" x14ac:dyDescent="0.3">
      <c r="A148" s="1">
        <v>146</v>
      </c>
      <c r="B148">
        <v>205891</v>
      </c>
      <c r="C148">
        <v>222078</v>
      </c>
      <c r="D148" s="1">
        <v>0</v>
      </c>
    </row>
    <row r="149" spans="1:4" ht="14.4" customHeight="1" x14ac:dyDescent="0.3">
      <c r="A149" s="1">
        <v>147</v>
      </c>
      <c r="B149">
        <v>205891</v>
      </c>
      <c r="C149">
        <v>205269</v>
      </c>
      <c r="D149" s="1">
        <v>0</v>
      </c>
    </row>
    <row r="150" spans="1:4" ht="14.4" customHeight="1" x14ac:dyDescent="0.3">
      <c r="A150" s="1">
        <v>148</v>
      </c>
      <c r="B150">
        <v>205891</v>
      </c>
      <c r="C150">
        <v>209506</v>
      </c>
      <c r="D150" s="1">
        <v>0</v>
      </c>
    </row>
    <row r="151" spans="1:4" ht="14.4" customHeight="1" x14ac:dyDescent="0.3">
      <c r="A151" s="1">
        <v>149</v>
      </c>
      <c r="B151">
        <v>205891</v>
      </c>
      <c r="C151">
        <v>208480</v>
      </c>
      <c r="D151" s="1">
        <v>0</v>
      </c>
    </row>
    <row r="152" spans="1:4" ht="14.4" customHeight="1" x14ac:dyDescent="0.3">
      <c r="A152" s="1">
        <v>150</v>
      </c>
      <c r="B152">
        <v>205891</v>
      </c>
      <c r="C152">
        <v>207468</v>
      </c>
      <c r="D152" s="1">
        <v>1</v>
      </c>
    </row>
    <row r="153" spans="1:4" ht="14.4" customHeight="1" x14ac:dyDescent="0.3">
      <c r="A153" s="1">
        <v>151</v>
      </c>
      <c r="B153">
        <v>205891</v>
      </c>
      <c r="C153">
        <v>208011</v>
      </c>
      <c r="D153" s="1">
        <v>0</v>
      </c>
    </row>
    <row r="154" spans="1:4" ht="14.4" customHeight="1" x14ac:dyDescent="0.3">
      <c r="A154" s="1">
        <v>152</v>
      </c>
      <c r="B154">
        <v>205891</v>
      </c>
      <c r="C154">
        <v>208596</v>
      </c>
      <c r="D154" s="1">
        <v>0</v>
      </c>
    </row>
    <row r="155" spans="1:4" ht="14.4" customHeight="1" x14ac:dyDescent="0.3">
      <c r="A155" s="1">
        <v>153</v>
      </c>
      <c r="B155">
        <v>205891</v>
      </c>
      <c r="C155">
        <v>207967</v>
      </c>
      <c r="D155" s="1">
        <v>0</v>
      </c>
    </row>
    <row r="156" spans="1:4" ht="14.4" customHeight="1" x14ac:dyDescent="0.3">
      <c r="A156" s="1">
        <v>154</v>
      </c>
      <c r="B156">
        <v>205891</v>
      </c>
      <c r="C156">
        <v>222079</v>
      </c>
      <c r="D156" s="1">
        <v>0</v>
      </c>
    </row>
    <row r="157" spans="1:4" ht="14.4" customHeight="1" x14ac:dyDescent="0.3">
      <c r="A157" s="1">
        <v>155</v>
      </c>
      <c r="B157">
        <v>205891</v>
      </c>
      <c r="C157">
        <v>207633</v>
      </c>
      <c r="D157" s="1">
        <v>0</v>
      </c>
    </row>
    <row r="158" spans="1:4" ht="14.4" customHeight="1" x14ac:dyDescent="0.3">
      <c r="A158" s="1">
        <v>156</v>
      </c>
      <c r="B158">
        <v>205891</v>
      </c>
      <c r="C158">
        <v>206764</v>
      </c>
      <c r="D158" s="1">
        <v>0</v>
      </c>
    </row>
    <row r="159" spans="1:4" ht="14.4" customHeight="1" x14ac:dyDescent="0.3">
      <c r="A159" s="1">
        <v>157</v>
      </c>
      <c r="B159">
        <v>205891</v>
      </c>
      <c r="C159">
        <v>222054</v>
      </c>
      <c r="D159" s="1">
        <v>0</v>
      </c>
    </row>
    <row r="160" spans="1:4" ht="14.4" customHeight="1" x14ac:dyDescent="0.3">
      <c r="A160" s="1">
        <v>158</v>
      </c>
      <c r="B160">
        <v>205891</v>
      </c>
      <c r="C160">
        <v>209176</v>
      </c>
      <c r="D160" s="1">
        <v>0</v>
      </c>
    </row>
    <row r="161" spans="1:4" ht="14.4" customHeight="1" x14ac:dyDescent="0.3">
      <c r="A161" s="1">
        <v>159</v>
      </c>
      <c r="B161">
        <v>205891</v>
      </c>
      <c r="C161">
        <v>205075</v>
      </c>
      <c r="D161" s="1">
        <v>0</v>
      </c>
    </row>
    <row r="162" spans="1:4" ht="14.4" customHeight="1" x14ac:dyDescent="0.3">
      <c r="A162" s="1">
        <v>160</v>
      </c>
      <c r="B162">
        <v>205891</v>
      </c>
      <c r="C162">
        <v>206937</v>
      </c>
      <c r="D162" s="1">
        <v>0</v>
      </c>
    </row>
    <row r="163" spans="1:4" ht="14.4" customHeight="1" x14ac:dyDescent="0.3">
      <c r="A163" s="1">
        <v>161</v>
      </c>
      <c r="B163">
        <v>205891</v>
      </c>
      <c r="C163">
        <v>207758</v>
      </c>
      <c r="D163" s="1">
        <v>0</v>
      </c>
    </row>
    <row r="164" spans="1:4" ht="14.4" customHeight="1" x14ac:dyDescent="0.3">
      <c r="A164" s="1">
        <v>162</v>
      </c>
      <c r="B164">
        <v>205891</v>
      </c>
      <c r="C164">
        <v>208043</v>
      </c>
      <c r="D164" s="1">
        <v>0</v>
      </c>
    </row>
    <row r="165" spans="1:4" ht="14.4" customHeight="1" x14ac:dyDescent="0.3">
      <c r="A165" s="1">
        <v>163</v>
      </c>
      <c r="B165">
        <v>205891</v>
      </c>
      <c r="C165">
        <v>206905</v>
      </c>
      <c r="D165" s="1">
        <v>0</v>
      </c>
    </row>
    <row r="166" spans="1:4" ht="14.4" customHeight="1" x14ac:dyDescent="0.3">
      <c r="A166" s="1">
        <v>164</v>
      </c>
      <c r="B166">
        <v>205891</v>
      </c>
      <c r="C166">
        <v>222044</v>
      </c>
      <c r="D166" s="1">
        <v>0</v>
      </c>
    </row>
    <row r="167" spans="1:4" ht="14.4" customHeight="1" x14ac:dyDescent="0.3">
      <c r="A167" s="1">
        <v>165</v>
      </c>
      <c r="B167">
        <v>205891</v>
      </c>
      <c r="C167">
        <v>206770</v>
      </c>
      <c r="D167" s="1">
        <v>0</v>
      </c>
    </row>
    <row r="168" spans="1:4" ht="14.4" customHeight="1" x14ac:dyDescent="0.3">
      <c r="A168" s="1">
        <v>166</v>
      </c>
      <c r="B168">
        <v>205891</v>
      </c>
      <c r="C168">
        <v>206841</v>
      </c>
      <c r="D168" s="1">
        <v>0</v>
      </c>
    </row>
    <row r="169" spans="1:4" ht="14.4" customHeight="1" x14ac:dyDescent="0.3">
      <c r="A169" s="1">
        <v>167</v>
      </c>
      <c r="B169">
        <v>205891</v>
      </c>
      <c r="C169">
        <v>209266</v>
      </c>
      <c r="D169" s="1">
        <v>1</v>
      </c>
    </row>
    <row r="170" spans="1:4" ht="14.4" customHeight="1" x14ac:dyDescent="0.3">
      <c r="A170" s="1">
        <v>168</v>
      </c>
      <c r="B170">
        <v>205891</v>
      </c>
      <c r="C170">
        <v>232847</v>
      </c>
      <c r="D170" s="1">
        <v>0</v>
      </c>
    </row>
    <row r="171" spans="1:4" ht="14.4" customHeight="1" x14ac:dyDescent="0.3">
      <c r="A171" s="1">
        <v>169</v>
      </c>
      <c r="B171">
        <v>205891</v>
      </c>
      <c r="C171">
        <v>209136</v>
      </c>
      <c r="D171" s="1">
        <v>0</v>
      </c>
    </row>
    <row r="172" spans="1:4" ht="14.4" customHeight="1" x14ac:dyDescent="0.3">
      <c r="A172" s="1">
        <v>170</v>
      </c>
      <c r="B172">
        <v>205891</v>
      </c>
      <c r="C172">
        <v>207077</v>
      </c>
      <c r="D172" s="1">
        <v>0</v>
      </c>
    </row>
    <row r="173" spans="1:4" ht="14.4" customHeight="1" x14ac:dyDescent="0.3">
      <c r="A173" s="1">
        <v>171</v>
      </c>
      <c r="B173">
        <v>205891</v>
      </c>
      <c r="C173">
        <v>206148</v>
      </c>
      <c r="D173" s="1">
        <v>0</v>
      </c>
    </row>
    <row r="174" spans="1:4" ht="14.4" customHeight="1" x14ac:dyDescent="0.3">
      <c r="A174" s="1">
        <v>172</v>
      </c>
      <c r="B174">
        <v>205891</v>
      </c>
      <c r="C174">
        <v>208776</v>
      </c>
      <c r="D174" s="1">
        <v>0</v>
      </c>
    </row>
    <row r="175" spans="1:4" ht="14.4" customHeight="1" x14ac:dyDescent="0.3">
      <c r="A175" s="1">
        <v>173</v>
      </c>
      <c r="B175">
        <v>205891</v>
      </c>
      <c r="C175">
        <v>205551</v>
      </c>
      <c r="D175" s="1">
        <v>1</v>
      </c>
    </row>
    <row r="176" spans="1:4" ht="14.4" customHeight="1" x14ac:dyDescent="0.3">
      <c r="A176" s="1">
        <v>174</v>
      </c>
      <c r="B176">
        <v>205891</v>
      </c>
      <c r="C176">
        <v>208485</v>
      </c>
      <c r="D176" s="1">
        <v>0</v>
      </c>
    </row>
    <row r="177" spans="1:4" ht="14.4" customHeight="1" x14ac:dyDescent="0.3">
      <c r="A177" s="1">
        <v>175</v>
      </c>
      <c r="B177">
        <v>205891</v>
      </c>
      <c r="C177">
        <v>206280</v>
      </c>
      <c r="D177" s="1">
        <v>0</v>
      </c>
    </row>
    <row r="178" spans="1:4" ht="14.4" customHeight="1" x14ac:dyDescent="0.3">
      <c r="A178" s="1">
        <v>176</v>
      </c>
      <c r="B178">
        <v>205891</v>
      </c>
      <c r="C178">
        <v>205750</v>
      </c>
      <c r="D178" s="1">
        <v>0</v>
      </c>
    </row>
    <row r="179" spans="1:4" ht="14.4" customHeight="1" x14ac:dyDescent="0.3">
      <c r="A179" s="1">
        <v>177</v>
      </c>
      <c r="B179">
        <v>205891</v>
      </c>
      <c r="C179">
        <v>208622</v>
      </c>
      <c r="D179" s="1">
        <v>4</v>
      </c>
    </row>
    <row r="180" spans="1:4" ht="14.4" customHeight="1" x14ac:dyDescent="0.3">
      <c r="A180" s="1">
        <v>178</v>
      </c>
      <c r="B180">
        <v>205891</v>
      </c>
      <c r="C180">
        <v>208657</v>
      </c>
      <c r="D180" s="1">
        <v>0</v>
      </c>
    </row>
    <row r="181" spans="1:4" ht="14.4" customHeight="1" x14ac:dyDescent="0.3">
      <c r="A181" s="1">
        <v>179</v>
      </c>
      <c r="B181">
        <v>205891</v>
      </c>
      <c r="C181">
        <v>209385</v>
      </c>
      <c r="D181" s="1">
        <v>0</v>
      </c>
    </row>
    <row r="182" spans="1:4" ht="14.4" customHeight="1" x14ac:dyDescent="0.3">
      <c r="A182" s="1">
        <v>180</v>
      </c>
      <c r="B182">
        <v>205891</v>
      </c>
      <c r="C182">
        <v>205505</v>
      </c>
      <c r="D182" s="1">
        <v>0</v>
      </c>
    </row>
    <row r="183" spans="1:4" ht="14.4" customHeight="1" x14ac:dyDescent="0.3">
      <c r="A183" s="1">
        <v>181</v>
      </c>
      <c r="B183">
        <v>205891</v>
      </c>
      <c r="C183">
        <v>207238</v>
      </c>
      <c r="D183" s="1">
        <v>0</v>
      </c>
    </row>
    <row r="184" spans="1:4" ht="14.4" customHeight="1" x14ac:dyDescent="0.3">
      <c r="A184" s="1">
        <v>182</v>
      </c>
      <c r="B184">
        <v>205891</v>
      </c>
      <c r="C184">
        <v>207561</v>
      </c>
      <c r="D184" s="1">
        <v>0</v>
      </c>
    </row>
    <row r="185" spans="1:4" ht="14.4" customHeight="1" x14ac:dyDescent="0.3">
      <c r="A185" s="1">
        <v>183</v>
      </c>
      <c r="B185">
        <v>205891</v>
      </c>
      <c r="C185">
        <v>206872</v>
      </c>
      <c r="D185" s="1">
        <v>1</v>
      </c>
    </row>
    <row r="186" spans="1:4" ht="14.4" customHeight="1" x14ac:dyDescent="0.3">
      <c r="A186" s="1">
        <v>184</v>
      </c>
      <c r="B186">
        <v>205891</v>
      </c>
      <c r="C186">
        <v>208511</v>
      </c>
      <c r="D186" s="1">
        <v>0</v>
      </c>
    </row>
    <row r="187" spans="1:4" ht="14.4" customHeight="1" x14ac:dyDescent="0.3">
      <c r="A187" s="1">
        <v>185</v>
      </c>
      <c r="B187">
        <v>205891</v>
      </c>
      <c r="C187">
        <v>222031</v>
      </c>
      <c r="D187" s="1">
        <v>0</v>
      </c>
    </row>
    <row r="188" spans="1:4" ht="14.4" customHeight="1" x14ac:dyDescent="0.3">
      <c r="A188" s="1">
        <v>186</v>
      </c>
      <c r="B188">
        <v>205891</v>
      </c>
      <c r="C188">
        <v>209491</v>
      </c>
      <c r="D188" s="1">
        <v>0</v>
      </c>
    </row>
    <row r="189" spans="1:4" ht="14.4" customHeight="1" x14ac:dyDescent="0.3">
      <c r="A189" s="1">
        <v>187</v>
      </c>
      <c r="B189">
        <v>205891</v>
      </c>
      <c r="C189">
        <v>208624</v>
      </c>
      <c r="D189" s="1">
        <v>4</v>
      </c>
    </row>
    <row r="190" spans="1:4" ht="14.4" customHeight="1" x14ac:dyDescent="0.3">
      <c r="A190" s="1">
        <v>188</v>
      </c>
      <c r="B190">
        <v>205891</v>
      </c>
      <c r="C190">
        <v>207259</v>
      </c>
      <c r="D190" s="1">
        <v>0</v>
      </c>
    </row>
    <row r="191" spans="1:4" ht="14.4" customHeight="1" x14ac:dyDescent="0.3">
      <c r="A191" s="1">
        <v>189</v>
      </c>
      <c r="B191">
        <v>205891</v>
      </c>
      <c r="C191">
        <v>208777</v>
      </c>
      <c r="D191" s="1">
        <v>0</v>
      </c>
    </row>
    <row r="192" spans="1:4" ht="14.4" customHeight="1" x14ac:dyDescent="0.3">
      <c r="A192" s="1">
        <v>190</v>
      </c>
      <c r="B192">
        <v>205662</v>
      </c>
      <c r="C192">
        <v>222053</v>
      </c>
      <c r="D192" s="1">
        <v>2</v>
      </c>
    </row>
    <row r="193" spans="1:4" ht="14.4" customHeight="1" x14ac:dyDescent="0.3">
      <c r="A193" s="1">
        <v>191</v>
      </c>
      <c r="B193">
        <v>205662</v>
      </c>
      <c r="C193">
        <v>222078</v>
      </c>
      <c r="D193" s="1">
        <v>5</v>
      </c>
    </row>
    <row r="194" spans="1:4" ht="14.4" customHeight="1" x14ac:dyDescent="0.3">
      <c r="A194" s="1">
        <v>192</v>
      </c>
      <c r="B194">
        <v>205662</v>
      </c>
      <c r="C194">
        <v>205269</v>
      </c>
      <c r="D194" s="1">
        <v>0</v>
      </c>
    </row>
    <row r="195" spans="1:4" ht="14.4" customHeight="1" x14ac:dyDescent="0.3">
      <c r="A195" s="1">
        <v>193</v>
      </c>
      <c r="B195">
        <v>205662</v>
      </c>
      <c r="C195">
        <v>209506</v>
      </c>
      <c r="D195" s="1">
        <v>0</v>
      </c>
    </row>
    <row r="196" spans="1:4" ht="14.4" customHeight="1" x14ac:dyDescent="0.3">
      <c r="A196" s="1">
        <v>194</v>
      </c>
      <c r="B196">
        <v>205662</v>
      </c>
      <c r="C196">
        <v>208480</v>
      </c>
      <c r="D196" s="1">
        <v>0</v>
      </c>
    </row>
    <row r="197" spans="1:4" ht="14.4" customHeight="1" x14ac:dyDescent="0.3">
      <c r="A197" s="1">
        <v>195</v>
      </c>
      <c r="B197">
        <v>205662</v>
      </c>
      <c r="C197">
        <v>207468</v>
      </c>
      <c r="D197" s="1">
        <v>0</v>
      </c>
    </row>
    <row r="198" spans="1:4" ht="14.4" customHeight="1" x14ac:dyDescent="0.3">
      <c r="A198" s="1">
        <v>196</v>
      </c>
      <c r="B198">
        <v>205662</v>
      </c>
      <c r="C198">
        <v>208011</v>
      </c>
      <c r="D198" s="1">
        <v>0</v>
      </c>
    </row>
    <row r="199" spans="1:4" ht="14.4" customHeight="1" x14ac:dyDescent="0.3">
      <c r="A199" s="1">
        <v>197</v>
      </c>
      <c r="B199">
        <v>205662</v>
      </c>
      <c r="C199">
        <v>208596</v>
      </c>
      <c r="D199" s="1">
        <v>0</v>
      </c>
    </row>
    <row r="200" spans="1:4" ht="14.4" customHeight="1" x14ac:dyDescent="0.3">
      <c r="A200" s="1">
        <v>198</v>
      </c>
      <c r="B200">
        <v>205662</v>
      </c>
      <c r="C200">
        <v>207967</v>
      </c>
      <c r="D200" s="1">
        <v>0</v>
      </c>
    </row>
    <row r="201" spans="1:4" ht="14.4" customHeight="1" x14ac:dyDescent="0.3">
      <c r="A201" s="1">
        <v>199</v>
      </c>
      <c r="B201">
        <v>205662</v>
      </c>
      <c r="C201">
        <v>222079</v>
      </c>
      <c r="D201" s="1">
        <v>0</v>
      </c>
    </row>
    <row r="202" spans="1:4" ht="14.4" customHeight="1" x14ac:dyDescent="0.3">
      <c r="A202" s="1">
        <v>200</v>
      </c>
      <c r="B202">
        <v>205662</v>
      </c>
      <c r="C202">
        <v>207633</v>
      </c>
      <c r="D202" s="1">
        <v>0</v>
      </c>
    </row>
    <row r="203" spans="1:4" ht="14.4" customHeight="1" x14ac:dyDescent="0.3">
      <c r="A203" s="1">
        <v>201</v>
      </c>
      <c r="B203">
        <v>205662</v>
      </c>
      <c r="C203">
        <v>206764</v>
      </c>
      <c r="D203" s="1">
        <v>0</v>
      </c>
    </row>
    <row r="204" spans="1:4" ht="14.4" customHeight="1" x14ac:dyDescent="0.3">
      <c r="A204" s="1">
        <v>202</v>
      </c>
      <c r="B204">
        <v>205662</v>
      </c>
      <c r="C204">
        <v>222054</v>
      </c>
      <c r="D204" s="1">
        <v>0</v>
      </c>
    </row>
    <row r="205" spans="1:4" ht="14.4" customHeight="1" x14ac:dyDescent="0.3">
      <c r="A205" s="1">
        <v>203</v>
      </c>
      <c r="B205">
        <v>205662</v>
      </c>
      <c r="C205">
        <v>209176</v>
      </c>
      <c r="D205" s="1">
        <v>0</v>
      </c>
    </row>
    <row r="206" spans="1:4" ht="14.4" customHeight="1" x14ac:dyDescent="0.3">
      <c r="A206" s="1">
        <v>204</v>
      </c>
      <c r="B206">
        <v>205662</v>
      </c>
      <c r="C206">
        <v>205075</v>
      </c>
      <c r="D206" s="1">
        <v>0</v>
      </c>
    </row>
    <row r="207" spans="1:4" ht="14.4" customHeight="1" x14ac:dyDescent="0.3">
      <c r="A207" s="1">
        <v>205</v>
      </c>
      <c r="B207">
        <v>205662</v>
      </c>
      <c r="C207">
        <v>206937</v>
      </c>
      <c r="D207" s="1">
        <v>0</v>
      </c>
    </row>
    <row r="208" spans="1:4" ht="14.4" customHeight="1" x14ac:dyDescent="0.3">
      <c r="A208" s="1">
        <v>206</v>
      </c>
      <c r="B208">
        <v>205662</v>
      </c>
      <c r="C208">
        <v>207758</v>
      </c>
      <c r="D208" s="1">
        <v>0</v>
      </c>
    </row>
    <row r="209" spans="1:4" ht="14.4" customHeight="1" x14ac:dyDescent="0.3">
      <c r="A209" s="1">
        <v>207</v>
      </c>
      <c r="B209">
        <v>205662</v>
      </c>
      <c r="C209">
        <v>208043</v>
      </c>
      <c r="D209" s="1">
        <v>0</v>
      </c>
    </row>
    <row r="210" spans="1:4" ht="14.4" customHeight="1" x14ac:dyDescent="0.3">
      <c r="A210" s="1">
        <v>208</v>
      </c>
      <c r="B210">
        <v>205662</v>
      </c>
      <c r="C210">
        <v>206905</v>
      </c>
      <c r="D210" s="1">
        <v>0</v>
      </c>
    </row>
    <row r="211" spans="1:4" ht="14.4" customHeight="1" x14ac:dyDescent="0.3">
      <c r="A211" s="1">
        <v>209</v>
      </c>
      <c r="B211">
        <v>205662</v>
      </c>
      <c r="C211">
        <v>222044</v>
      </c>
      <c r="D211" s="1">
        <v>0</v>
      </c>
    </row>
    <row r="212" spans="1:4" ht="14.4" customHeight="1" x14ac:dyDescent="0.3">
      <c r="A212" s="1">
        <v>210</v>
      </c>
      <c r="B212">
        <v>205662</v>
      </c>
      <c r="C212">
        <v>206770</v>
      </c>
      <c r="D212" s="1">
        <v>0</v>
      </c>
    </row>
    <row r="213" spans="1:4" ht="14.4" customHeight="1" x14ac:dyDescent="0.3">
      <c r="A213" s="1">
        <v>211</v>
      </c>
      <c r="B213">
        <v>205662</v>
      </c>
      <c r="C213">
        <v>206841</v>
      </c>
      <c r="D213" s="1">
        <v>0</v>
      </c>
    </row>
    <row r="214" spans="1:4" ht="14.4" customHeight="1" x14ac:dyDescent="0.3">
      <c r="A214" s="1">
        <v>212</v>
      </c>
      <c r="B214">
        <v>205662</v>
      </c>
      <c r="C214">
        <v>209266</v>
      </c>
      <c r="D214" s="1">
        <v>0</v>
      </c>
    </row>
    <row r="215" spans="1:4" ht="14.4" customHeight="1" x14ac:dyDescent="0.3">
      <c r="A215" s="1">
        <v>213</v>
      </c>
      <c r="B215">
        <v>205662</v>
      </c>
      <c r="C215">
        <v>232847</v>
      </c>
      <c r="D215" s="1">
        <v>0</v>
      </c>
    </row>
    <row r="216" spans="1:4" ht="14.4" customHeight="1" x14ac:dyDescent="0.3">
      <c r="A216" s="1">
        <v>214</v>
      </c>
      <c r="B216">
        <v>205662</v>
      </c>
      <c r="C216">
        <v>209136</v>
      </c>
      <c r="D216" s="1">
        <v>0</v>
      </c>
    </row>
    <row r="217" spans="1:4" ht="14.4" customHeight="1" x14ac:dyDescent="0.3">
      <c r="A217" s="1">
        <v>215</v>
      </c>
      <c r="B217">
        <v>205662</v>
      </c>
      <c r="C217">
        <v>207077</v>
      </c>
      <c r="D217" s="1">
        <v>0</v>
      </c>
    </row>
    <row r="218" spans="1:4" ht="14.4" customHeight="1" x14ac:dyDescent="0.3">
      <c r="A218" s="1">
        <v>216</v>
      </c>
      <c r="B218">
        <v>205662</v>
      </c>
      <c r="C218">
        <v>206148</v>
      </c>
      <c r="D218" s="1">
        <v>1</v>
      </c>
    </row>
    <row r="219" spans="1:4" ht="14.4" customHeight="1" x14ac:dyDescent="0.3">
      <c r="A219" s="1">
        <v>217</v>
      </c>
      <c r="B219">
        <v>205662</v>
      </c>
      <c r="C219">
        <v>208776</v>
      </c>
      <c r="D219" s="1">
        <v>0</v>
      </c>
    </row>
    <row r="220" spans="1:4" ht="14.4" customHeight="1" x14ac:dyDescent="0.3">
      <c r="A220" s="1">
        <v>218</v>
      </c>
      <c r="B220">
        <v>205662</v>
      </c>
      <c r="C220">
        <v>205551</v>
      </c>
      <c r="D220" s="1">
        <v>0</v>
      </c>
    </row>
    <row r="221" spans="1:4" ht="14.4" customHeight="1" x14ac:dyDescent="0.3">
      <c r="A221" s="1">
        <v>219</v>
      </c>
      <c r="B221">
        <v>205662</v>
      </c>
      <c r="C221">
        <v>208485</v>
      </c>
      <c r="D221" s="1">
        <v>0</v>
      </c>
    </row>
    <row r="222" spans="1:4" ht="14.4" customHeight="1" x14ac:dyDescent="0.3">
      <c r="A222" s="1">
        <v>220</v>
      </c>
      <c r="B222">
        <v>205662</v>
      </c>
      <c r="C222">
        <v>206280</v>
      </c>
      <c r="D222" s="1">
        <v>0</v>
      </c>
    </row>
    <row r="223" spans="1:4" ht="14.4" customHeight="1" x14ac:dyDescent="0.3">
      <c r="A223" s="1">
        <v>221</v>
      </c>
      <c r="B223">
        <v>205662</v>
      </c>
      <c r="C223">
        <v>205750</v>
      </c>
      <c r="D223" s="1">
        <v>4</v>
      </c>
    </row>
    <row r="224" spans="1:4" ht="14.4" customHeight="1" x14ac:dyDescent="0.3">
      <c r="A224" s="1">
        <v>222</v>
      </c>
      <c r="B224">
        <v>205662</v>
      </c>
      <c r="C224">
        <v>208622</v>
      </c>
      <c r="D224" s="1">
        <v>0</v>
      </c>
    </row>
    <row r="225" spans="1:4" ht="14.4" customHeight="1" x14ac:dyDescent="0.3">
      <c r="A225" s="1">
        <v>223</v>
      </c>
      <c r="B225">
        <v>205662</v>
      </c>
      <c r="C225">
        <v>208657</v>
      </c>
      <c r="D225" s="1">
        <v>0</v>
      </c>
    </row>
    <row r="226" spans="1:4" ht="14.4" customHeight="1" x14ac:dyDescent="0.3">
      <c r="A226" s="1">
        <v>224</v>
      </c>
      <c r="B226">
        <v>205662</v>
      </c>
      <c r="C226">
        <v>209385</v>
      </c>
      <c r="D226" s="1">
        <v>0</v>
      </c>
    </row>
    <row r="227" spans="1:4" ht="14.4" customHeight="1" x14ac:dyDescent="0.3">
      <c r="A227" s="1">
        <v>225</v>
      </c>
      <c r="B227">
        <v>205662</v>
      </c>
      <c r="C227">
        <v>205505</v>
      </c>
      <c r="D227" s="1">
        <v>4</v>
      </c>
    </row>
    <row r="228" spans="1:4" ht="14.4" customHeight="1" x14ac:dyDescent="0.3">
      <c r="A228" s="1">
        <v>226</v>
      </c>
      <c r="B228">
        <v>205662</v>
      </c>
      <c r="C228">
        <v>207238</v>
      </c>
      <c r="D228" s="1">
        <v>0</v>
      </c>
    </row>
    <row r="229" spans="1:4" ht="14.4" customHeight="1" x14ac:dyDescent="0.3">
      <c r="A229" s="1">
        <v>227</v>
      </c>
      <c r="B229">
        <v>205662</v>
      </c>
      <c r="C229">
        <v>207561</v>
      </c>
      <c r="D229" s="1">
        <v>0</v>
      </c>
    </row>
    <row r="230" spans="1:4" ht="14.4" customHeight="1" x14ac:dyDescent="0.3">
      <c r="A230" s="1">
        <v>228</v>
      </c>
      <c r="B230">
        <v>205662</v>
      </c>
      <c r="C230">
        <v>206872</v>
      </c>
      <c r="D230" s="1">
        <v>0</v>
      </c>
    </row>
    <row r="231" spans="1:4" ht="14.4" customHeight="1" x14ac:dyDescent="0.3">
      <c r="A231" s="1">
        <v>229</v>
      </c>
      <c r="B231">
        <v>205662</v>
      </c>
      <c r="C231">
        <v>208511</v>
      </c>
      <c r="D231" s="1">
        <v>0</v>
      </c>
    </row>
    <row r="232" spans="1:4" ht="14.4" customHeight="1" x14ac:dyDescent="0.3">
      <c r="A232" s="1">
        <v>230</v>
      </c>
      <c r="B232">
        <v>205662</v>
      </c>
      <c r="C232">
        <v>222031</v>
      </c>
      <c r="D232" s="1">
        <v>0</v>
      </c>
    </row>
    <row r="233" spans="1:4" ht="14.4" customHeight="1" x14ac:dyDescent="0.3">
      <c r="A233" s="1">
        <v>231</v>
      </c>
      <c r="B233">
        <v>205662</v>
      </c>
      <c r="C233">
        <v>209491</v>
      </c>
      <c r="D233" s="1">
        <v>0</v>
      </c>
    </row>
    <row r="234" spans="1:4" ht="14.4" customHeight="1" x14ac:dyDescent="0.3">
      <c r="A234" s="1">
        <v>232</v>
      </c>
      <c r="B234">
        <v>205662</v>
      </c>
      <c r="C234">
        <v>208624</v>
      </c>
      <c r="D234" s="1">
        <v>0</v>
      </c>
    </row>
    <row r="235" spans="1:4" ht="14.4" customHeight="1" x14ac:dyDescent="0.3">
      <c r="A235" s="1">
        <v>233</v>
      </c>
      <c r="B235">
        <v>205662</v>
      </c>
      <c r="C235">
        <v>207259</v>
      </c>
      <c r="D235" s="1">
        <v>0</v>
      </c>
    </row>
    <row r="236" spans="1:4" ht="14.4" customHeight="1" x14ac:dyDescent="0.3">
      <c r="A236" s="1">
        <v>234</v>
      </c>
      <c r="B236">
        <v>205662</v>
      </c>
      <c r="C236">
        <v>208777</v>
      </c>
      <c r="D236" s="1">
        <v>0</v>
      </c>
    </row>
    <row r="237" spans="1:4" ht="14.4" customHeight="1" x14ac:dyDescent="0.3">
      <c r="A237" s="1">
        <v>235</v>
      </c>
      <c r="B237">
        <v>222053</v>
      </c>
      <c r="C237">
        <v>222078</v>
      </c>
      <c r="D237" s="1">
        <v>2</v>
      </c>
    </row>
    <row r="238" spans="1:4" ht="14.4" customHeight="1" x14ac:dyDescent="0.3">
      <c r="A238" s="1">
        <v>236</v>
      </c>
      <c r="B238">
        <v>222053</v>
      </c>
      <c r="C238">
        <v>205269</v>
      </c>
      <c r="D238" s="1">
        <v>0</v>
      </c>
    </row>
    <row r="239" spans="1:4" ht="14.4" customHeight="1" x14ac:dyDescent="0.3">
      <c r="A239" s="1">
        <v>237</v>
      </c>
      <c r="B239">
        <v>222053</v>
      </c>
      <c r="C239">
        <v>209506</v>
      </c>
      <c r="D239" s="1">
        <v>4</v>
      </c>
    </row>
    <row r="240" spans="1:4" ht="14.4" customHeight="1" x14ac:dyDescent="0.3">
      <c r="A240" s="1">
        <v>238</v>
      </c>
      <c r="B240">
        <v>222053</v>
      </c>
      <c r="C240">
        <v>208480</v>
      </c>
      <c r="D240" s="1">
        <v>0</v>
      </c>
    </row>
    <row r="241" spans="1:4" ht="14.4" customHeight="1" x14ac:dyDescent="0.3">
      <c r="A241" s="1">
        <v>239</v>
      </c>
      <c r="B241">
        <v>222053</v>
      </c>
      <c r="C241">
        <v>207468</v>
      </c>
      <c r="D241" s="1">
        <v>0</v>
      </c>
    </row>
    <row r="242" spans="1:4" ht="14.4" customHeight="1" x14ac:dyDescent="0.3">
      <c r="A242" s="1">
        <v>240</v>
      </c>
      <c r="B242">
        <v>222053</v>
      </c>
      <c r="C242">
        <v>208011</v>
      </c>
      <c r="D242" s="1">
        <v>0</v>
      </c>
    </row>
    <row r="243" spans="1:4" ht="14.4" customHeight="1" x14ac:dyDescent="0.3">
      <c r="A243" s="1">
        <v>241</v>
      </c>
      <c r="B243">
        <v>222053</v>
      </c>
      <c r="C243">
        <v>208596</v>
      </c>
      <c r="D243" s="1">
        <v>0</v>
      </c>
    </row>
    <row r="244" spans="1:4" ht="14.4" customHeight="1" x14ac:dyDescent="0.3">
      <c r="A244" s="1">
        <v>242</v>
      </c>
      <c r="B244">
        <v>222053</v>
      </c>
      <c r="C244">
        <v>207967</v>
      </c>
      <c r="D244" s="1">
        <v>0</v>
      </c>
    </row>
    <row r="245" spans="1:4" ht="14.4" customHeight="1" x14ac:dyDescent="0.3">
      <c r="A245" s="1">
        <v>243</v>
      </c>
      <c r="B245">
        <v>222053</v>
      </c>
      <c r="C245">
        <v>222079</v>
      </c>
      <c r="D245" s="1">
        <v>0</v>
      </c>
    </row>
    <row r="246" spans="1:4" ht="14.4" customHeight="1" x14ac:dyDescent="0.3">
      <c r="A246" s="1">
        <v>244</v>
      </c>
      <c r="B246">
        <v>222053</v>
      </c>
      <c r="C246">
        <v>207633</v>
      </c>
      <c r="D246" s="1">
        <v>0</v>
      </c>
    </row>
    <row r="247" spans="1:4" ht="14.4" customHeight="1" x14ac:dyDescent="0.3">
      <c r="A247" s="1">
        <v>245</v>
      </c>
      <c r="B247">
        <v>222053</v>
      </c>
      <c r="C247">
        <v>206764</v>
      </c>
      <c r="D247" s="1">
        <v>0</v>
      </c>
    </row>
    <row r="248" spans="1:4" ht="14.4" customHeight="1" x14ac:dyDescent="0.3">
      <c r="A248" s="1">
        <v>246</v>
      </c>
      <c r="B248">
        <v>222053</v>
      </c>
      <c r="C248">
        <v>222054</v>
      </c>
      <c r="D248" s="1">
        <v>0</v>
      </c>
    </row>
    <row r="249" spans="1:4" ht="14.4" customHeight="1" x14ac:dyDescent="0.3">
      <c r="A249" s="1">
        <v>247</v>
      </c>
      <c r="B249">
        <v>222053</v>
      </c>
      <c r="C249">
        <v>209176</v>
      </c>
      <c r="D249" s="1">
        <v>0</v>
      </c>
    </row>
    <row r="250" spans="1:4" ht="14.4" customHeight="1" x14ac:dyDescent="0.3">
      <c r="A250" s="1">
        <v>248</v>
      </c>
      <c r="B250">
        <v>222053</v>
      </c>
      <c r="C250">
        <v>205075</v>
      </c>
      <c r="D250" s="1">
        <v>0</v>
      </c>
    </row>
    <row r="251" spans="1:4" ht="14.4" customHeight="1" x14ac:dyDescent="0.3">
      <c r="A251" s="1">
        <v>249</v>
      </c>
      <c r="B251">
        <v>222053</v>
      </c>
      <c r="C251">
        <v>206937</v>
      </c>
      <c r="D251" s="1">
        <v>0</v>
      </c>
    </row>
    <row r="252" spans="1:4" ht="14.4" customHeight="1" x14ac:dyDescent="0.3">
      <c r="A252" s="1">
        <v>250</v>
      </c>
      <c r="B252">
        <v>222053</v>
      </c>
      <c r="C252">
        <v>207758</v>
      </c>
      <c r="D252" s="1">
        <v>0</v>
      </c>
    </row>
    <row r="253" spans="1:4" ht="14.4" customHeight="1" x14ac:dyDescent="0.3">
      <c r="A253" s="1">
        <v>251</v>
      </c>
      <c r="B253">
        <v>222053</v>
      </c>
      <c r="C253">
        <v>208043</v>
      </c>
      <c r="D253" s="1">
        <v>0</v>
      </c>
    </row>
    <row r="254" spans="1:4" ht="14.4" customHeight="1" x14ac:dyDescent="0.3">
      <c r="A254" s="1">
        <v>252</v>
      </c>
      <c r="B254">
        <v>222053</v>
      </c>
      <c r="C254">
        <v>206905</v>
      </c>
      <c r="D254" s="1">
        <v>0</v>
      </c>
    </row>
    <row r="255" spans="1:4" ht="14.4" customHeight="1" x14ac:dyDescent="0.3">
      <c r="A255" s="1">
        <v>253</v>
      </c>
      <c r="B255">
        <v>222053</v>
      </c>
      <c r="C255">
        <v>222044</v>
      </c>
      <c r="D255" s="1">
        <v>0</v>
      </c>
    </row>
    <row r="256" spans="1:4" ht="14.4" customHeight="1" x14ac:dyDescent="0.3">
      <c r="A256" s="1">
        <v>254</v>
      </c>
      <c r="B256">
        <v>222053</v>
      </c>
      <c r="C256">
        <v>206770</v>
      </c>
      <c r="D256" s="1">
        <v>0</v>
      </c>
    </row>
    <row r="257" spans="1:4" ht="14.4" customHeight="1" x14ac:dyDescent="0.3">
      <c r="A257" s="1">
        <v>255</v>
      </c>
      <c r="B257">
        <v>222053</v>
      </c>
      <c r="C257">
        <v>206841</v>
      </c>
      <c r="D257" s="1">
        <v>0</v>
      </c>
    </row>
    <row r="258" spans="1:4" ht="14.4" customHeight="1" x14ac:dyDescent="0.3">
      <c r="A258" s="1">
        <v>256</v>
      </c>
      <c r="B258">
        <v>222053</v>
      </c>
      <c r="C258">
        <v>209266</v>
      </c>
      <c r="D258" s="1">
        <v>0</v>
      </c>
    </row>
    <row r="259" spans="1:4" ht="14.4" customHeight="1" x14ac:dyDescent="0.3">
      <c r="A259" s="1">
        <v>257</v>
      </c>
      <c r="B259">
        <v>222053</v>
      </c>
      <c r="C259">
        <v>232847</v>
      </c>
      <c r="D259" s="1">
        <v>0</v>
      </c>
    </row>
    <row r="260" spans="1:4" ht="14.4" customHeight="1" x14ac:dyDescent="0.3">
      <c r="A260" s="1">
        <v>258</v>
      </c>
      <c r="B260">
        <v>222053</v>
      </c>
      <c r="C260">
        <v>209136</v>
      </c>
      <c r="D260" s="1">
        <v>0</v>
      </c>
    </row>
    <row r="261" spans="1:4" ht="14.4" customHeight="1" x14ac:dyDescent="0.3">
      <c r="A261" s="1">
        <v>259</v>
      </c>
      <c r="B261">
        <v>222053</v>
      </c>
      <c r="C261">
        <v>207077</v>
      </c>
      <c r="D261" s="1">
        <v>0</v>
      </c>
    </row>
    <row r="262" spans="1:4" ht="14.4" customHeight="1" x14ac:dyDescent="0.3">
      <c r="A262" s="1">
        <v>260</v>
      </c>
      <c r="B262">
        <v>222053</v>
      </c>
      <c r="C262">
        <v>206148</v>
      </c>
      <c r="D262" s="1">
        <v>5</v>
      </c>
    </row>
    <row r="263" spans="1:4" ht="14.4" customHeight="1" x14ac:dyDescent="0.3">
      <c r="A263" s="1">
        <v>261</v>
      </c>
      <c r="B263">
        <v>222053</v>
      </c>
      <c r="C263">
        <v>208776</v>
      </c>
      <c r="D263" s="1">
        <v>0</v>
      </c>
    </row>
    <row r="264" spans="1:4" ht="14.4" customHeight="1" x14ac:dyDescent="0.3">
      <c r="A264" s="1">
        <v>262</v>
      </c>
      <c r="B264">
        <v>222053</v>
      </c>
      <c r="C264">
        <v>205551</v>
      </c>
      <c r="D264" s="1">
        <v>0</v>
      </c>
    </row>
    <row r="265" spans="1:4" ht="14.4" customHeight="1" x14ac:dyDescent="0.3">
      <c r="A265" s="1">
        <v>263</v>
      </c>
      <c r="B265">
        <v>222053</v>
      </c>
      <c r="C265">
        <v>208485</v>
      </c>
      <c r="D265" s="1">
        <v>0</v>
      </c>
    </row>
    <row r="266" spans="1:4" ht="14.4" customHeight="1" x14ac:dyDescent="0.3">
      <c r="A266" s="1">
        <v>264</v>
      </c>
      <c r="B266">
        <v>222053</v>
      </c>
      <c r="C266">
        <v>206280</v>
      </c>
      <c r="D266" s="1">
        <v>0</v>
      </c>
    </row>
    <row r="267" spans="1:4" ht="14.4" customHeight="1" x14ac:dyDescent="0.3">
      <c r="A267" s="1">
        <v>265</v>
      </c>
      <c r="B267">
        <v>222053</v>
      </c>
      <c r="C267">
        <v>205750</v>
      </c>
      <c r="D267" s="1">
        <v>2</v>
      </c>
    </row>
    <row r="268" spans="1:4" ht="14.4" customHeight="1" x14ac:dyDescent="0.3">
      <c r="A268" s="1">
        <v>266</v>
      </c>
      <c r="B268">
        <v>222053</v>
      </c>
      <c r="C268">
        <v>208622</v>
      </c>
      <c r="D268" s="1">
        <v>0</v>
      </c>
    </row>
    <row r="269" spans="1:4" ht="14.4" customHeight="1" x14ac:dyDescent="0.3">
      <c r="A269" s="1">
        <v>267</v>
      </c>
      <c r="B269">
        <v>222053</v>
      </c>
      <c r="C269">
        <v>208657</v>
      </c>
      <c r="D269" s="1">
        <v>0</v>
      </c>
    </row>
    <row r="270" spans="1:4" ht="14.4" customHeight="1" x14ac:dyDescent="0.3">
      <c r="A270" s="1">
        <v>268</v>
      </c>
      <c r="B270">
        <v>222053</v>
      </c>
      <c r="C270">
        <v>209385</v>
      </c>
      <c r="D270" s="1">
        <v>0</v>
      </c>
    </row>
    <row r="271" spans="1:4" ht="14.4" customHeight="1" x14ac:dyDescent="0.3">
      <c r="A271" s="1">
        <v>269</v>
      </c>
      <c r="B271">
        <v>222053</v>
      </c>
      <c r="C271">
        <v>205505</v>
      </c>
      <c r="D271" s="1">
        <v>1</v>
      </c>
    </row>
    <row r="272" spans="1:4" ht="14.4" customHeight="1" x14ac:dyDescent="0.3">
      <c r="A272" s="1">
        <v>270</v>
      </c>
      <c r="B272">
        <v>222053</v>
      </c>
      <c r="C272">
        <v>207238</v>
      </c>
      <c r="D272" s="1">
        <v>0</v>
      </c>
    </row>
    <row r="273" spans="1:4" ht="14.4" customHeight="1" x14ac:dyDescent="0.3">
      <c r="A273" s="1">
        <v>271</v>
      </c>
      <c r="B273">
        <v>222053</v>
      </c>
      <c r="C273">
        <v>207561</v>
      </c>
      <c r="D273" s="1">
        <v>0</v>
      </c>
    </row>
    <row r="274" spans="1:4" ht="14.4" customHeight="1" x14ac:dyDescent="0.3">
      <c r="A274" s="1">
        <v>272</v>
      </c>
      <c r="B274">
        <v>222053</v>
      </c>
      <c r="C274">
        <v>206872</v>
      </c>
      <c r="D274" s="1">
        <v>0</v>
      </c>
    </row>
    <row r="275" spans="1:4" ht="14.4" customHeight="1" x14ac:dyDescent="0.3">
      <c r="A275" s="1">
        <v>273</v>
      </c>
      <c r="B275">
        <v>222053</v>
      </c>
      <c r="C275">
        <v>208511</v>
      </c>
      <c r="D275" s="1">
        <v>0</v>
      </c>
    </row>
    <row r="276" spans="1:4" ht="14.4" customHeight="1" x14ac:dyDescent="0.3">
      <c r="A276" s="1">
        <v>274</v>
      </c>
      <c r="B276">
        <v>222053</v>
      </c>
      <c r="C276">
        <v>222031</v>
      </c>
      <c r="D276" s="1">
        <v>3</v>
      </c>
    </row>
    <row r="277" spans="1:4" ht="14.4" customHeight="1" x14ac:dyDescent="0.3">
      <c r="A277" s="1">
        <v>275</v>
      </c>
      <c r="B277">
        <v>222053</v>
      </c>
      <c r="C277">
        <v>209491</v>
      </c>
      <c r="D277" s="1">
        <v>0</v>
      </c>
    </row>
    <row r="278" spans="1:4" ht="14.4" customHeight="1" x14ac:dyDescent="0.3">
      <c r="A278" s="1">
        <v>276</v>
      </c>
      <c r="B278">
        <v>222053</v>
      </c>
      <c r="C278">
        <v>208624</v>
      </c>
      <c r="D278" s="1">
        <v>0</v>
      </c>
    </row>
    <row r="279" spans="1:4" ht="14.4" customHeight="1" x14ac:dyDescent="0.3">
      <c r="A279" s="1">
        <v>277</v>
      </c>
      <c r="B279">
        <v>222053</v>
      </c>
      <c r="C279">
        <v>207259</v>
      </c>
      <c r="D279" s="1">
        <v>0</v>
      </c>
    </row>
    <row r="280" spans="1:4" ht="14.4" customHeight="1" x14ac:dyDescent="0.3">
      <c r="A280" s="1">
        <v>278</v>
      </c>
      <c r="B280">
        <v>222053</v>
      </c>
      <c r="C280">
        <v>208777</v>
      </c>
      <c r="D280" s="1">
        <v>0</v>
      </c>
    </row>
    <row r="281" spans="1:4" ht="14.4" customHeight="1" x14ac:dyDescent="0.3">
      <c r="A281" s="1">
        <v>279</v>
      </c>
      <c r="B281">
        <v>222078</v>
      </c>
      <c r="C281">
        <v>205269</v>
      </c>
      <c r="D281" s="1">
        <v>0</v>
      </c>
    </row>
    <row r="282" spans="1:4" ht="14.4" customHeight="1" x14ac:dyDescent="0.3">
      <c r="A282" s="1">
        <v>280</v>
      </c>
      <c r="B282">
        <v>222078</v>
      </c>
      <c r="C282">
        <v>209506</v>
      </c>
      <c r="D282" s="1">
        <v>1</v>
      </c>
    </row>
    <row r="283" spans="1:4" ht="14.4" customHeight="1" x14ac:dyDescent="0.3">
      <c r="A283" s="1">
        <v>281</v>
      </c>
      <c r="B283">
        <v>222078</v>
      </c>
      <c r="C283">
        <v>208480</v>
      </c>
      <c r="D283" s="1">
        <v>0</v>
      </c>
    </row>
    <row r="284" spans="1:4" ht="14.4" customHeight="1" x14ac:dyDescent="0.3">
      <c r="A284" s="1">
        <v>282</v>
      </c>
      <c r="B284">
        <v>222078</v>
      </c>
      <c r="C284">
        <v>207468</v>
      </c>
      <c r="D284" s="1">
        <v>0</v>
      </c>
    </row>
    <row r="285" spans="1:4" ht="14.4" customHeight="1" x14ac:dyDescent="0.3">
      <c r="A285" s="1">
        <v>283</v>
      </c>
      <c r="B285">
        <v>222078</v>
      </c>
      <c r="C285">
        <v>208011</v>
      </c>
      <c r="D285" s="1">
        <v>0</v>
      </c>
    </row>
    <row r="286" spans="1:4" ht="14.4" customHeight="1" x14ac:dyDescent="0.3">
      <c r="A286" s="1">
        <v>284</v>
      </c>
      <c r="B286">
        <v>222078</v>
      </c>
      <c r="C286">
        <v>208596</v>
      </c>
      <c r="D286" s="1">
        <v>0</v>
      </c>
    </row>
    <row r="287" spans="1:4" ht="14.4" customHeight="1" x14ac:dyDescent="0.3">
      <c r="A287" s="1">
        <v>285</v>
      </c>
      <c r="B287">
        <v>222078</v>
      </c>
      <c r="C287">
        <v>207967</v>
      </c>
      <c r="D287" s="1">
        <v>0</v>
      </c>
    </row>
    <row r="288" spans="1:4" ht="14.4" customHeight="1" x14ac:dyDescent="0.3">
      <c r="A288" s="1">
        <v>286</v>
      </c>
      <c r="B288">
        <v>222078</v>
      </c>
      <c r="C288">
        <v>222079</v>
      </c>
      <c r="D288" s="1">
        <v>0</v>
      </c>
    </row>
    <row r="289" spans="1:4" ht="14.4" customHeight="1" x14ac:dyDescent="0.3">
      <c r="A289" s="1">
        <v>287</v>
      </c>
      <c r="B289">
        <v>222078</v>
      </c>
      <c r="C289">
        <v>207633</v>
      </c>
      <c r="D289" s="1">
        <v>0</v>
      </c>
    </row>
    <row r="290" spans="1:4" ht="14.4" customHeight="1" x14ac:dyDescent="0.3">
      <c r="A290" s="1">
        <v>288</v>
      </c>
      <c r="B290">
        <v>222078</v>
      </c>
      <c r="C290">
        <v>206764</v>
      </c>
      <c r="D290" s="1">
        <v>0</v>
      </c>
    </row>
    <row r="291" spans="1:4" ht="14.4" customHeight="1" x14ac:dyDescent="0.3">
      <c r="A291" s="1">
        <v>289</v>
      </c>
      <c r="B291">
        <v>222078</v>
      </c>
      <c r="C291">
        <v>222054</v>
      </c>
      <c r="D291" s="1">
        <v>0</v>
      </c>
    </row>
    <row r="292" spans="1:4" ht="14.4" customHeight="1" x14ac:dyDescent="0.3">
      <c r="A292" s="1">
        <v>290</v>
      </c>
      <c r="B292">
        <v>222078</v>
      </c>
      <c r="C292">
        <v>209176</v>
      </c>
      <c r="D292" s="1">
        <v>0</v>
      </c>
    </row>
    <row r="293" spans="1:4" ht="14.4" customHeight="1" x14ac:dyDescent="0.3">
      <c r="A293" s="1">
        <v>291</v>
      </c>
      <c r="B293">
        <v>222078</v>
      </c>
      <c r="C293">
        <v>205075</v>
      </c>
      <c r="D293" s="1">
        <v>0</v>
      </c>
    </row>
    <row r="294" spans="1:4" ht="14.4" customHeight="1" x14ac:dyDescent="0.3">
      <c r="A294" s="1">
        <v>292</v>
      </c>
      <c r="B294">
        <v>222078</v>
      </c>
      <c r="C294">
        <v>206937</v>
      </c>
      <c r="D294" s="1">
        <v>0</v>
      </c>
    </row>
    <row r="295" spans="1:4" ht="14.4" customHeight="1" x14ac:dyDescent="0.3">
      <c r="A295" s="1">
        <v>293</v>
      </c>
      <c r="B295">
        <v>222078</v>
      </c>
      <c r="C295">
        <v>207758</v>
      </c>
      <c r="D295" s="1">
        <v>0</v>
      </c>
    </row>
    <row r="296" spans="1:4" ht="14.4" customHeight="1" x14ac:dyDescent="0.3">
      <c r="A296" s="1">
        <v>294</v>
      </c>
      <c r="B296">
        <v>222078</v>
      </c>
      <c r="C296">
        <v>208043</v>
      </c>
      <c r="D296" s="1">
        <v>0</v>
      </c>
    </row>
    <row r="297" spans="1:4" ht="14.4" customHeight="1" x14ac:dyDescent="0.3">
      <c r="A297" s="1">
        <v>295</v>
      </c>
      <c r="B297">
        <v>222078</v>
      </c>
      <c r="C297">
        <v>206905</v>
      </c>
      <c r="D297" s="1">
        <v>0</v>
      </c>
    </row>
    <row r="298" spans="1:4" ht="14.4" customHeight="1" x14ac:dyDescent="0.3">
      <c r="A298" s="1">
        <v>296</v>
      </c>
      <c r="B298">
        <v>222078</v>
      </c>
      <c r="C298">
        <v>222044</v>
      </c>
      <c r="D298" s="1">
        <v>0</v>
      </c>
    </row>
    <row r="299" spans="1:4" ht="14.4" customHeight="1" x14ac:dyDescent="0.3">
      <c r="A299" s="1">
        <v>297</v>
      </c>
      <c r="B299">
        <v>222078</v>
      </c>
      <c r="C299">
        <v>206770</v>
      </c>
      <c r="D299" s="1">
        <v>0</v>
      </c>
    </row>
    <row r="300" spans="1:4" ht="14.4" customHeight="1" x14ac:dyDescent="0.3">
      <c r="A300" s="1">
        <v>298</v>
      </c>
      <c r="B300">
        <v>222078</v>
      </c>
      <c r="C300">
        <v>206841</v>
      </c>
      <c r="D300" s="1">
        <v>0</v>
      </c>
    </row>
    <row r="301" spans="1:4" ht="14.4" customHeight="1" x14ac:dyDescent="0.3">
      <c r="A301" s="1">
        <v>299</v>
      </c>
      <c r="B301">
        <v>222078</v>
      </c>
      <c r="C301">
        <v>209266</v>
      </c>
      <c r="D301" s="1">
        <v>0</v>
      </c>
    </row>
    <row r="302" spans="1:4" ht="14.4" customHeight="1" x14ac:dyDescent="0.3">
      <c r="A302" s="1">
        <v>300</v>
      </c>
      <c r="B302">
        <v>222078</v>
      </c>
      <c r="C302">
        <v>232847</v>
      </c>
      <c r="D302" s="1">
        <v>0</v>
      </c>
    </row>
    <row r="303" spans="1:4" ht="14.4" customHeight="1" x14ac:dyDescent="0.3">
      <c r="A303" s="1">
        <v>301</v>
      </c>
      <c r="B303">
        <v>222078</v>
      </c>
      <c r="C303">
        <v>209136</v>
      </c>
      <c r="D303" s="1">
        <v>0</v>
      </c>
    </row>
    <row r="304" spans="1:4" ht="14.4" customHeight="1" x14ac:dyDescent="0.3">
      <c r="A304" s="1">
        <v>302</v>
      </c>
      <c r="B304">
        <v>222078</v>
      </c>
      <c r="C304">
        <v>207077</v>
      </c>
      <c r="D304" s="1">
        <v>0</v>
      </c>
    </row>
    <row r="305" spans="1:4" ht="14.4" customHeight="1" x14ac:dyDescent="0.3">
      <c r="A305" s="1">
        <v>303</v>
      </c>
      <c r="B305">
        <v>222078</v>
      </c>
      <c r="C305">
        <v>206148</v>
      </c>
      <c r="D305" s="1">
        <v>0</v>
      </c>
    </row>
    <row r="306" spans="1:4" ht="14.4" customHeight="1" x14ac:dyDescent="0.3">
      <c r="A306" s="1">
        <v>304</v>
      </c>
      <c r="B306">
        <v>222078</v>
      </c>
      <c r="C306">
        <v>208776</v>
      </c>
      <c r="D306" s="1">
        <v>0</v>
      </c>
    </row>
    <row r="307" spans="1:4" ht="14.4" customHeight="1" x14ac:dyDescent="0.3">
      <c r="A307" s="1">
        <v>305</v>
      </c>
      <c r="B307">
        <v>222078</v>
      </c>
      <c r="C307">
        <v>205551</v>
      </c>
      <c r="D307" s="1">
        <v>0</v>
      </c>
    </row>
    <row r="308" spans="1:4" ht="14.4" customHeight="1" x14ac:dyDescent="0.3">
      <c r="A308" s="1">
        <v>306</v>
      </c>
      <c r="B308">
        <v>222078</v>
      </c>
      <c r="C308">
        <v>208485</v>
      </c>
      <c r="D308" s="1">
        <v>0</v>
      </c>
    </row>
    <row r="309" spans="1:4" ht="14.4" customHeight="1" x14ac:dyDescent="0.3">
      <c r="A309" s="1">
        <v>307</v>
      </c>
      <c r="B309">
        <v>222078</v>
      </c>
      <c r="C309">
        <v>206280</v>
      </c>
      <c r="D309" s="1">
        <v>0</v>
      </c>
    </row>
    <row r="310" spans="1:4" ht="14.4" customHeight="1" x14ac:dyDescent="0.3">
      <c r="A310" s="1">
        <v>308</v>
      </c>
      <c r="B310">
        <v>222078</v>
      </c>
      <c r="C310">
        <v>205750</v>
      </c>
      <c r="D310" s="1">
        <v>4</v>
      </c>
    </row>
    <row r="311" spans="1:4" ht="14.4" customHeight="1" x14ac:dyDescent="0.3">
      <c r="A311" s="1">
        <v>309</v>
      </c>
      <c r="B311">
        <v>222078</v>
      </c>
      <c r="C311">
        <v>208622</v>
      </c>
      <c r="D311" s="1">
        <v>0</v>
      </c>
    </row>
    <row r="312" spans="1:4" ht="14.4" customHeight="1" x14ac:dyDescent="0.3">
      <c r="A312" s="1">
        <v>310</v>
      </c>
      <c r="B312">
        <v>222078</v>
      </c>
      <c r="C312">
        <v>208657</v>
      </c>
      <c r="D312" s="1">
        <v>0</v>
      </c>
    </row>
    <row r="313" spans="1:4" ht="14.4" customHeight="1" x14ac:dyDescent="0.3">
      <c r="A313" s="1">
        <v>311</v>
      </c>
      <c r="B313">
        <v>222078</v>
      </c>
      <c r="C313">
        <v>209385</v>
      </c>
      <c r="D313" s="1">
        <v>0</v>
      </c>
    </row>
    <row r="314" spans="1:4" ht="14.4" customHeight="1" x14ac:dyDescent="0.3">
      <c r="A314" s="1">
        <v>312</v>
      </c>
      <c r="B314">
        <v>222078</v>
      </c>
      <c r="C314">
        <v>205505</v>
      </c>
      <c r="D314" s="1">
        <v>4</v>
      </c>
    </row>
    <row r="315" spans="1:4" ht="14.4" customHeight="1" x14ac:dyDescent="0.3">
      <c r="A315" s="1">
        <v>313</v>
      </c>
      <c r="B315">
        <v>222078</v>
      </c>
      <c r="C315">
        <v>207238</v>
      </c>
      <c r="D315" s="1">
        <v>0</v>
      </c>
    </row>
    <row r="316" spans="1:4" ht="14.4" customHeight="1" x14ac:dyDescent="0.3">
      <c r="A316" s="1">
        <v>314</v>
      </c>
      <c r="B316">
        <v>222078</v>
      </c>
      <c r="C316">
        <v>207561</v>
      </c>
      <c r="D316" s="1">
        <v>0</v>
      </c>
    </row>
    <row r="317" spans="1:4" ht="14.4" customHeight="1" x14ac:dyDescent="0.3">
      <c r="A317" s="1">
        <v>315</v>
      </c>
      <c r="B317">
        <v>222078</v>
      </c>
      <c r="C317">
        <v>206872</v>
      </c>
      <c r="D317" s="1">
        <v>0</v>
      </c>
    </row>
    <row r="318" spans="1:4" ht="14.4" customHeight="1" x14ac:dyDescent="0.3">
      <c r="A318" s="1">
        <v>316</v>
      </c>
      <c r="B318">
        <v>222078</v>
      </c>
      <c r="C318">
        <v>208511</v>
      </c>
      <c r="D318" s="1">
        <v>0</v>
      </c>
    </row>
    <row r="319" spans="1:4" ht="14.4" customHeight="1" x14ac:dyDescent="0.3">
      <c r="A319" s="1">
        <v>317</v>
      </c>
      <c r="B319">
        <v>222078</v>
      </c>
      <c r="C319">
        <v>222031</v>
      </c>
      <c r="D319" s="1">
        <v>2</v>
      </c>
    </row>
    <row r="320" spans="1:4" ht="14.4" customHeight="1" x14ac:dyDescent="0.3">
      <c r="A320" s="1">
        <v>318</v>
      </c>
      <c r="B320">
        <v>222078</v>
      </c>
      <c r="C320">
        <v>209491</v>
      </c>
      <c r="D320" s="1">
        <v>0</v>
      </c>
    </row>
    <row r="321" spans="1:4" ht="14.4" customHeight="1" x14ac:dyDescent="0.3">
      <c r="A321" s="1">
        <v>319</v>
      </c>
      <c r="B321">
        <v>222078</v>
      </c>
      <c r="C321">
        <v>208624</v>
      </c>
      <c r="D321" s="1">
        <v>0</v>
      </c>
    </row>
    <row r="322" spans="1:4" ht="14.4" customHeight="1" x14ac:dyDescent="0.3">
      <c r="A322" s="1">
        <v>320</v>
      </c>
      <c r="B322">
        <v>222078</v>
      </c>
      <c r="C322">
        <v>207259</v>
      </c>
      <c r="D322" s="1">
        <v>0</v>
      </c>
    </row>
    <row r="323" spans="1:4" ht="14.4" customHeight="1" x14ac:dyDescent="0.3">
      <c r="A323" s="1">
        <v>321</v>
      </c>
      <c r="B323">
        <v>222078</v>
      </c>
      <c r="C323">
        <v>208777</v>
      </c>
      <c r="D323" s="1">
        <v>0</v>
      </c>
    </row>
    <row r="324" spans="1:4" ht="14.4" customHeight="1" x14ac:dyDescent="0.3">
      <c r="A324" s="1">
        <v>322</v>
      </c>
      <c r="B324">
        <v>205269</v>
      </c>
      <c r="C324">
        <v>209506</v>
      </c>
      <c r="D324" s="1">
        <v>0</v>
      </c>
    </row>
    <row r="325" spans="1:4" ht="14.4" customHeight="1" x14ac:dyDescent="0.3">
      <c r="A325" s="1">
        <v>323</v>
      </c>
      <c r="B325">
        <v>205269</v>
      </c>
      <c r="C325">
        <v>208480</v>
      </c>
      <c r="D325" s="1">
        <v>0</v>
      </c>
    </row>
    <row r="326" spans="1:4" ht="14.4" customHeight="1" x14ac:dyDescent="0.3">
      <c r="A326" s="1">
        <v>324</v>
      </c>
      <c r="B326">
        <v>205269</v>
      </c>
      <c r="C326">
        <v>207468</v>
      </c>
      <c r="D326" s="1">
        <v>0</v>
      </c>
    </row>
    <row r="327" spans="1:4" ht="14.4" customHeight="1" x14ac:dyDescent="0.3">
      <c r="A327" s="1">
        <v>325</v>
      </c>
      <c r="B327">
        <v>205269</v>
      </c>
      <c r="C327">
        <v>208011</v>
      </c>
      <c r="D327" s="1">
        <v>3</v>
      </c>
    </row>
    <row r="328" spans="1:4" ht="14.4" customHeight="1" x14ac:dyDescent="0.3">
      <c r="A328" s="1">
        <v>326</v>
      </c>
      <c r="B328">
        <v>205269</v>
      </c>
      <c r="C328">
        <v>208596</v>
      </c>
      <c r="D328" s="1">
        <v>0</v>
      </c>
    </row>
    <row r="329" spans="1:4" ht="14.4" customHeight="1" x14ac:dyDescent="0.3">
      <c r="A329" s="1">
        <v>327</v>
      </c>
      <c r="B329">
        <v>205269</v>
      </c>
      <c r="C329">
        <v>207967</v>
      </c>
      <c r="D329" s="1">
        <v>0</v>
      </c>
    </row>
    <row r="330" spans="1:4" ht="14.4" customHeight="1" x14ac:dyDescent="0.3">
      <c r="A330" s="1">
        <v>328</v>
      </c>
      <c r="B330">
        <v>205269</v>
      </c>
      <c r="C330">
        <v>222079</v>
      </c>
      <c r="D330" s="1">
        <v>0</v>
      </c>
    </row>
    <row r="331" spans="1:4" ht="14.4" customHeight="1" x14ac:dyDescent="0.3">
      <c r="A331" s="1">
        <v>329</v>
      </c>
      <c r="B331">
        <v>205269</v>
      </c>
      <c r="C331">
        <v>207633</v>
      </c>
      <c r="D331" s="1">
        <v>0</v>
      </c>
    </row>
    <row r="332" spans="1:4" ht="14.4" customHeight="1" x14ac:dyDescent="0.3">
      <c r="A332" s="1">
        <v>330</v>
      </c>
      <c r="B332">
        <v>205269</v>
      </c>
      <c r="C332">
        <v>206764</v>
      </c>
      <c r="D332" s="1">
        <v>0</v>
      </c>
    </row>
    <row r="333" spans="1:4" ht="14.4" customHeight="1" x14ac:dyDescent="0.3">
      <c r="A333" s="1">
        <v>331</v>
      </c>
      <c r="B333">
        <v>205269</v>
      </c>
      <c r="C333">
        <v>222054</v>
      </c>
      <c r="D333" s="1">
        <v>0</v>
      </c>
    </row>
    <row r="334" spans="1:4" ht="14.4" customHeight="1" x14ac:dyDescent="0.3">
      <c r="A334" s="1">
        <v>332</v>
      </c>
      <c r="B334">
        <v>205269</v>
      </c>
      <c r="C334">
        <v>209176</v>
      </c>
      <c r="D334" s="1">
        <v>0</v>
      </c>
    </row>
    <row r="335" spans="1:4" ht="14.4" customHeight="1" x14ac:dyDescent="0.3">
      <c r="A335" s="1">
        <v>333</v>
      </c>
      <c r="B335">
        <v>205269</v>
      </c>
      <c r="C335">
        <v>205075</v>
      </c>
      <c r="D335" s="1">
        <v>0</v>
      </c>
    </row>
    <row r="336" spans="1:4" ht="14.4" customHeight="1" x14ac:dyDescent="0.3">
      <c r="A336" s="1">
        <v>334</v>
      </c>
      <c r="B336">
        <v>205269</v>
      </c>
      <c r="C336">
        <v>206937</v>
      </c>
      <c r="D336" s="1">
        <v>0</v>
      </c>
    </row>
    <row r="337" spans="1:4" ht="14.4" customHeight="1" x14ac:dyDescent="0.3">
      <c r="A337" s="1">
        <v>335</v>
      </c>
      <c r="B337">
        <v>205269</v>
      </c>
      <c r="C337">
        <v>207758</v>
      </c>
      <c r="D337" s="1">
        <v>0</v>
      </c>
    </row>
    <row r="338" spans="1:4" ht="14.4" customHeight="1" x14ac:dyDescent="0.3">
      <c r="A338" s="1">
        <v>336</v>
      </c>
      <c r="B338">
        <v>205269</v>
      </c>
      <c r="C338">
        <v>208043</v>
      </c>
      <c r="D338" s="1">
        <v>0</v>
      </c>
    </row>
    <row r="339" spans="1:4" ht="14.4" customHeight="1" x14ac:dyDescent="0.3">
      <c r="A339" s="1">
        <v>337</v>
      </c>
      <c r="B339">
        <v>205269</v>
      </c>
      <c r="C339">
        <v>206905</v>
      </c>
      <c r="D339" s="1">
        <v>0</v>
      </c>
    </row>
    <row r="340" spans="1:4" ht="14.4" customHeight="1" x14ac:dyDescent="0.3">
      <c r="A340" s="1">
        <v>338</v>
      </c>
      <c r="B340">
        <v>205269</v>
      </c>
      <c r="C340">
        <v>222044</v>
      </c>
      <c r="D340" s="1">
        <v>0</v>
      </c>
    </row>
    <row r="341" spans="1:4" ht="14.4" customHeight="1" x14ac:dyDescent="0.3">
      <c r="A341" s="1">
        <v>339</v>
      </c>
      <c r="B341">
        <v>205269</v>
      </c>
      <c r="C341">
        <v>206770</v>
      </c>
      <c r="D341" s="1">
        <v>0</v>
      </c>
    </row>
    <row r="342" spans="1:4" ht="14.4" customHeight="1" x14ac:dyDescent="0.3">
      <c r="A342" s="1">
        <v>340</v>
      </c>
      <c r="B342">
        <v>205269</v>
      </c>
      <c r="C342">
        <v>206841</v>
      </c>
      <c r="D342" s="1">
        <v>0</v>
      </c>
    </row>
    <row r="343" spans="1:4" ht="14.4" customHeight="1" x14ac:dyDescent="0.3">
      <c r="A343" s="1">
        <v>341</v>
      </c>
      <c r="B343">
        <v>205269</v>
      </c>
      <c r="C343">
        <v>209266</v>
      </c>
      <c r="D343" s="1">
        <v>3</v>
      </c>
    </row>
    <row r="344" spans="1:4" ht="14.4" customHeight="1" x14ac:dyDescent="0.3">
      <c r="A344" s="1">
        <v>342</v>
      </c>
      <c r="B344">
        <v>205269</v>
      </c>
      <c r="C344">
        <v>232847</v>
      </c>
      <c r="D344" s="1">
        <v>0</v>
      </c>
    </row>
    <row r="345" spans="1:4" ht="14.4" customHeight="1" x14ac:dyDescent="0.3">
      <c r="A345" s="1">
        <v>343</v>
      </c>
      <c r="B345">
        <v>205269</v>
      </c>
      <c r="C345">
        <v>209136</v>
      </c>
      <c r="D345" s="1">
        <v>0</v>
      </c>
    </row>
    <row r="346" spans="1:4" ht="14.4" customHeight="1" x14ac:dyDescent="0.3">
      <c r="A346" s="1">
        <v>344</v>
      </c>
      <c r="B346">
        <v>205269</v>
      </c>
      <c r="C346">
        <v>207077</v>
      </c>
      <c r="D346" s="1">
        <v>0</v>
      </c>
    </row>
    <row r="347" spans="1:4" ht="14.4" customHeight="1" x14ac:dyDescent="0.3">
      <c r="A347" s="1">
        <v>345</v>
      </c>
      <c r="B347">
        <v>205269</v>
      </c>
      <c r="C347">
        <v>206148</v>
      </c>
      <c r="D347" s="1">
        <v>0</v>
      </c>
    </row>
    <row r="348" spans="1:4" ht="14.4" customHeight="1" x14ac:dyDescent="0.3">
      <c r="A348" s="1">
        <v>346</v>
      </c>
      <c r="B348">
        <v>205269</v>
      </c>
      <c r="C348">
        <v>208776</v>
      </c>
      <c r="D348" s="1">
        <v>0</v>
      </c>
    </row>
    <row r="349" spans="1:4" ht="14.4" customHeight="1" x14ac:dyDescent="0.3">
      <c r="A349" s="1">
        <v>347</v>
      </c>
      <c r="B349">
        <v>205269</v>
      </c>
      <c r="C349">
        <v>205551</v>
      </c>
      <c r="D349" s="1">
        <v>3</v>
      </c>
    </row>
    <row r="350" spans="1:4" ht="14.4" customHeight="1" x14ac:dyDescent="0.3">
      <c r="A350" s="1">
        <v>348</v>
      </c>
      <c r="B350">
        <v>205269</v>
      </c>
      <c r="C350">
        <v>208485</v>
      </c>
      <c r="D350" s="1">
        <v>0</v>
      </c>
    </row>
    <row r="351" spans="1:4" ht="14.4" customHeight="1" x14ac:dyDescent="0.3">
      <c r="A351" s="1">
        <v>349</v>
      </c>
      <c r="B351">
        <v>205269</v>
      </c>
      <c r="C351">
        <v>206280</v>
      </c>
      <c r="D351" s="1">
        <v>0</v>
      </c>
    </row>
    <row r="352" spans="1:4" ht="14.4" customHeight="1" x14ac:dyDescent="0.3">
      <c r="A352" s="1">
        <v>350</v>
      </c>
      <c r="B352">
        <v>205269</v>
      </c>
      <c r="C352">
        <v>205750</v>
      </c>
      <c r="D352" s="1">
        <v>0</v>
      </c>
    </row>
    <row r="353" spans="1:4" ht="14.4" customHeight="1" x14ac:dyDescent="0.3">
      <c r="A353" s="1">
        <v>351</v>
      </c>
      <c r="B353">
        <v>205269</v>
      </c>
      <c r="C353">
        <v>208622</v>
      </c>
      <c r="D353" s="1">
        <v>0</v>
      </c>
    </row>
    <row r="354" spans="1:4" ht="14.4" customHeight="1" x14ac:dyDescent="0.3">
      <c r="A354" s="1">
        <v>352</v>
      </c>
      <c r="B354">
        <v>205269</v>
      </c>
      <c r="C354">
        <v>208657</v>
      </c>
      <c r="D354" s="1">
        <v>0</v>
      </c>
    </row>
    <row r="355" spans="1:4" ht="14.4" customHeight="1" x14ac:dyDescent="0.3">
      <c r="A355" s="1">
        <v>353</v>
      </c>
      <c r="B355">
        <v>205269</v>
      </c>
      <c r="C355">
        <v>209385</v>
      </c>
      <c r="D355" s="1">
        <v>5</v>
      </c>
    </row>
    <row r="356" spans="1:4" ht="14.4" customHeight="1" x14ac:dyDescent="0.3">
      <c r="A356" s="1">
        <v>354</v>
      </c>
      <c r="B356">
        <v>205269</v>
      </c>
      <c r="C356">
        <v>205505</v>
      </c>
      <c r="D356" s="1">
        <v>0</v>
      </c>
    </row>
    <row r="357" spans="1:4" ht="14.4" customHeight="1" x14ac:dyDescent="0.3">
      <c r="A357" s="1">
        <v>355</v>
      </c>
      <c r="B357">
        <v>205269</v>
      </c>
      <c r="C357">
        <v>207238</v>
      </c>
      <c r="D357" s="1">
        <v>0</v>
      </c>
    </row>
    <row r="358" spans="1:4" ht="14.4" customHeight="1" x14ac:dyDescent="0.3">
      <c r="A358" s="1">
        <v>356</v>
      </c>
      <c r="B358">
        <v>205269</v>
      </c>
      <c r="C358">
        <v>207561</v>
      </c>
      <c r="D358" s="1">
        <v>0</v>
      </c>
    </row>
    <row r="359" spans="1:4" ht="14.4" customHeight="1" x14ac:dyDescent="0.3">
      <c r="A359" s="1">
        <v>357</v>
      </c>
      <c r="B359">
        <v>205269</v>
      </c>
      <c r="C359">
        <v>206872</v>
      </c>
      <c r="D359" s="1">
        <v>0</v>
      </c>
    </row>
    <row r="360" spans="1:4" ht="14.4" customHeight="1" x14ac:dyDescent="0.3">
      <c r="A360" s="1">
        <v>358</v>
      </c>
      <c r="B360">
        <v>205269</v>
      </c>
      <c r="C360">
        <v>208511</v>
      </c>
      <c r="D360" s="1">
        <v>0</v>
      </c>
    </row>
    <row r="361" spans="1:4" ht="14.4" customHeight="1" x14ac:dyDescent="0.3">
      <c r="A361" s="1">
        <v>359</v>
      </c>
      <c r="B361">
        <v>205269</v>
      </c>
      <c r="C361">
        <v>222031</v>
      </c>
      <c r="D361" s="1">
        <v>0</v>
      </c>
    </row>
    <row r="362" spans="1:4" ht="14.4" customHeight="1" x14ac:dyDescent="0.3">
      <c r="A362" s="1">
        <v>360</v>
      </c>
      <c r="B362">
        <v>205269</v>
      </c>
      <c r="C362">
        <v>209491</v>
      </c>
      <c r="D362" s="1">
        <v>5</v>
      </c>
    </row>
    <row r="363" spans="1:4" ht="14.4" customHeight="1" x14ac:dyDescent="0.3">
      <c r="A363" s="1">
        <v>361</v>
      </c>
      <c r="B363">
        <v>205269</v>
      </c>
      <c r="C363">
        <v>208624</v>
      </c>
      <c r="D363" s="1">
        <v>0</v>
      </c>
    </row>
    <row r="364" spans="1:4" ht="14.4" customHeight="1" x14ac:dyDescent="0.3">
      <c r="A364" s="1">
        <v>362</v>
      </c>
      <c r="B364">
        <v>205269</v>
      </c>
      <c r="C364">
        <v>207259</v>
      </c>
      <c r="D364" s="1">
        <v>0</v>
      </c>
    </row>
    <row r="365" spans="1:4" ht="14.4" customHeight="1" x14ac:dyDescent="0.3">
      <c r="A365" s="1">
        <v>363</v>
      </c>
      <c r="B365">
        <v>205269</v>
      </c>
      <c r="C365">
        <v>208777</v>
      </c>
      <c r="D365" s="1">
        <v>0</v>
      </c>
    </row>
    <row r="366" spans="1:4" ht="14.4" customHeight="1" x14ac:dyDescent="0.3">
      <c r="A366" s="1">
        <v>364</v>
      </c>
      <c r="B366">
        <v>209506</v>
      </c>
      <c r="C366">
        <v>208480</v>
      </c>
      <c r="D366" s="1">
        <v>0</v>
      </c>
    </row>
    <row r="367" spans="1:4" ht="14.4" customHeight="1" x14ac:dyDescent="0.3">
      <c r="A367" s="1">
        <v>365</v>
      </c>
      <c r="B367">
        <v>209506</v>
      </c>
      <c r="C367">
        <v>207468</v>
      </c>
      <c r="D367" s="1">
        <v>0</v>
      </c>
    </row>
    <row r="368" spans="1:4" ht="14.4" customHeight="1" x14ac:dyDescent="0.3">
      <c r="A368" s="1">
        <v>366</v>
      </c>
      <c r="B368">
        <v>209506</v>
      </c>
      <c r="C368">
        <v>208011</v>
      </c>
      <c r="D368" s="1">
        <v>0</v>
      </c>
    </row>
    <row r="369" spans="1:4" ht="14.4" customHeight="1" x14ac:dyDescent="0.3">
      <c r="A369" s="1">
        <v>367</v>
      </c>
      <c r="B369">
        <v>209506</v>
      </c>
      <c r="C369">
        <v>208596</v>
      </c>
      <c r="D369" s="1">
        <v>0</v>
      </c>
    </row>
    <row r="370" spans="1:4" ht="14.4" customHeight="1" x14ac:dyDescent="0.3">
      <c r="A370" s="1">
        <v>368</v>
      </c>
      <c r="B370">
        <v>209506</v>
      </c>
      <c r="C370">
        <v>207967</v>
      </c>
      <c r="D370" s="1">
        <v>0</v>
      </c>
    </row>
    <row r="371" spans="1:4" ht="14.4" customHeight="1" x14ac:dyDescent="0.3">
      <c r="A371" s="1">
        <v>369</v>
      </c>
      <c r="B371">
        <v>209506</v>
      </c>
      <c r="C371">
        <v>222079</v>
      </c>
      <c r="D371" s="1">
        <v>0</v>
      </c>
    </row>
    <row r="372" spans="1:4" ht="14.4" customHeight="1" x14ac:dyDescent="0.3">
      <c r="A372" s="1">
        <v>370</v>
      </c>
      <c r="B372">
        <v>209506</v>
      </c>
      <c r="C372">
        <v>207633</v>
      </c>
      <c r="D372" s="1">
        <v>0</v>
      </c>
    </row>
    <row r="373" spans="1:4" ht="14.4" customHeight="1" x14ac:dyDescent="0.3">
      <c r="A373" s="1">
        <v>371</v>
      </c>
      <c r="B373">
        <v>209506</v>
      </c>
      <c r="C373">
        <v>206764</v>
      </c>
      <c r="D373" s="1">
        <v>0</v>
      </c>
    </row>
    <row r="374" spans="1:4" ht="14.4" customHeight="1" x14ac:dyDescent="0.3">
      <c r="A374" s="1">
        <v>372</v>
      </c>
      <c r="B374">
        <v>209506</v>
      </c>
      <c r="C374">
        <v>222054</v>
      </c>
      <c r="D374" s="1">
        <v>0</v>
      </c>
    </row>
    <row r="375" spans="1:4" ht="14.4" customHeight="1" x14ac:dyDescent="0.3">
      <c r="A375" s="1">
        <v>373</v>
      </c>
      <c r="B375">
        <v>209506</v>
      </c>
      <c r="C375">
        <v>209176</v>
      </c>
      <c r="D375" s="1">
        <v>0</v>
      </c>
    </row>
    <row r="376" spans="1:4" ht="14.4" customHeight="1" x14ac:dyDescent="0.3">
      <c r="A376" s="1">
        <v>374</v>
      </c>
      <c r="B376">
        <v>209506</v>
      </c>
      <c r="C376">
        <v>205075</v>
      </c>
      <c r="D376" s="1">
        <v>0</v>
      </c>
    </row>
    <row r="377" spans="1:4" ht="14.4" customHeight="1" x14ac:dyDescent="0.3">
      <c r="A377" s="1">
        <v>375</v>
      </c>
      <c r="B377">
        <v>209506</v>
      </c>
      <c r="C377">
        <v>206937</v>
      </c>
      <c r="D377" s="1">
        <v>0</v>
      </c>
    </row>
    <row r="378" spans="1:4" ht="14.4" customHeight="1" x14ac:dyDescent="0.3">
      <c r="A378" s="1">
        <v>376</v>
      </c>
      <c r="B378">
        <v>209506</v>
      </c>
      <c r="C378">
        <v>207758</v>
      </c>
      <c r="D378" s="1">
        <v>0</v>
      </c>
    </row>
    <row r="379" spans="1:4" ht="14.4" customHeight="1" x14ac:dyDescent="0.3">
      <c r="A379" s="1">
        <v>377</v>
      </c>
      <c r="B379">
        <v>209506</v>
      </c>
      <c r="C379">
        <v>208043</v>
      </c>
      <c r="D379" s="1">
        <v>0</v>
      </c>
    </row>
    <row r="380" spans="1:4" ht="14.4" customHeight="1" x14ac:dyDescent="0.3">
      <c r="A380" s="1">
        <v>378</v>
      </c>
      <c r="B380">
        <v>209506</v>
      </c>
      <c r="C380">
        <v>206905</v>
      </c>
      <c r="D380" s="1">
        <v>0</v>
      </c>
    </row>
    <row r="381" spans="1:4" ht="14.4" customHeight="1" x14ac:dyDescent="0.3">
      <c r="A381" s="1">
        <v>379</v>
      </c>
      <c r="B381">
        <v>209506</v>
      </c>
      <c r="C381">
        <v>222044</v>
      </c>
      <c r="D381" s="1">
        <v>0</v>
      </c>
    </row>
    <row r="382" spans="1:4" ht="14.4" customHeight="1" x14ac:dyDescent="0.3">
      <c r="A382" s="1">
        <v>380</v>
      </c>
      <c r="B382">
        <v>209506</v>
      </c>
      <c r="C382">
        <v>206770</v>
      </c>
      <c r="D382" s="1">
        <v>0</v>
      </c>
    </row>
    <row r="383" spans="1:4" ht="14.4" customHeight="1" x14ac:dyDescent="0.3">
      <c r="A383" s="1">
        <v>381</v>
      </c>
      <c r="B383">
        <v>209506</v>
      </c>
      <c r="C383">
        <v>206841</v>
      </c>
      <c r="D383" s="1">
        <v>0</v>
      </c>
    </row>
    <row r="384" spans="1:4" ht="14.4" customHeight="1" x14ac:dyDescent="0.3">
      <c r="A384" s="1">
        <v>382</v>
      </c>
      <c r="B384">
        <v>209506</v>
      </c>
      <c r="C384">
        <v>209266</v>
      </c>
      <c r="D384" s="1">
        <v>0</v>
      </c>
    </row>
    <row r="385" spans="1:4" ht="14.4" customHeight="1" x14ac:dyDescent="0.3">
      <c r="A385" s="1">
        <v>383</v>
      </c>
      <c r="B385">
        <v>209506</v>
      </c>
      <c r="C385">
        <v>232847</v>
      </c>
      <c r="D385" s="1">
        <v>0</v>
      </c>
    </row>
    <row r="386" spans="1:4" ht="14.4" customHeight="1" x14ac:dyDescent="0.3">
      <c r="A386" s="1">
        <v>384</v>
      </c>
      <c r="B386">
        <v>209506</v>
      </c>
      <c r="C386">
        <v>209136</v>
      </c>
      <c r="D386" s="1">
        <v>0</v>
      </c>
    </row>
    <row r="387" spans="1:4" ht="14.4" customHeight="1" x14ac:dyDescent="0.3">
      <c r="A387" s="1">
        <v>385</v>
      </c>
      <c r="B387">
        <v>209506</v>
      </c>
      <c r="C387">
        <v>207077</v>
      </c>
      <c r="D387" s="1">
        <v>0</v>
      </c>
    </row>
    <row r="388" spans="1:4" ht="14.4" customHeight="1" x14ac:dyDescent="0.3">
      <c r="A388" s="1">
        <v>386</v>
      </c>
      <c r="B388">
        <v>209506</v>
      </c>
      <c r="C388">
        <v>206148</v>
      </c>
      <c r="D388" s="1">
        <v>5</v>
      </c>
    </row>
    <row r="389" spans="1:4" ht="14.4" customHeight="1" x14ac:dyDescent="0.3">
      <c r="A389" s="1">
        <v>387</v>
      </c>
      <c r="B389">
        <v>209506</v>
      </c>
      <c r="C389">
        <v>208776</v>
      </c>
      <c r="D389" s="1">
        <v>0</v>
      </c>
    </row>
    <row r="390" spans="1:4" ht="14.4" customHeight="1" x14ac:dyDescent="0.3">
      <c r="A390" s="1">
        <v>388</v>
      </c>
      <c r="B390">
        <v>209506</v>
      </c>
      <c r="C390">
        <v>205551</v>
      </c>
      <c r="D390" s="1">
        <v>0</v>
      </c>
    </row>
    <row r="391" spans="1:4" ht="14.4" customHeight="1" x14ac:dyDescent="0.3">
      <c r="A391" s="1">
        <v>389</v>
      </c>
      <c r="B391">
        <v>209506</v>
      </c>
      <c r="C391">
        <v>208485</v>
      </c>
      <c r="D391" s="1">
        <v>0</v>
      </c>
    </row>
    <row r="392" spans="1:4" ht="14.4" customHeight="1" x14ac:dyDescent="0.3">
      <c r="A392" s="1">
        <v>390</v>
      </c>
      <c r="B392">
        <v>209506</v>
      </c>
      <c r="C392">
        <v>206280</v>
      </c>
      <c r="D392" s="1">
        <v>0</v>
      </c>
    </row>
    <row r="393" spans="1:4" ht="14.4" customHeight="1" x14ac:dyDescent="0.3">
      <c r="A393" s="1">
        <v>391</v>
      </c>
      <c r="B393">
        <v>209506</v>
      </c>
      <c r="C393">
        <v>205750</v>
      </c>
      <c r="D393" s="1">
        <v>0</v>
      </c>
    </row>
    <row r="394" spans="1:4" ht="14.4" customHeight="1" x14ac:dyDescent="0.3">
      <c r="A394" s="1">
        <v>392</v>
      </c>
      <c r="B394">
        <v>209506</v>
      </c>
      <c r="C394">
        <v>208622</v>
      </c>
      <c r="D394" s="1">
        <v>0</v>
      </c>
    </row>
    <row r="395" spans="1:4" ht="14.4" customHeight="1" x14ac:dyDescent="0.3">
      <c r="A395" s="1">
        <v>393</v>
      </c>
      <c r="B395">
        <v>209506</v>
      </c>
      <c r="C395">
        <v>208657</v>
      </c>
      <c r="D395" s="1">
        <v>0</v>
      </c>
    </row>
    <row r="396" spans="1:4" ht="14.4" customHeight="1" x14ac:dyDescent="0.3">
      <c r="A396" s="1">
        <v>394</v>
      </c>
      <c r="B396">
        <v>209506</v>
      </c>
      <c r="C396">
        <v>209385</v>
      </c>
      <c r="D396" s="1">
        <v>0</v>
      </c>
    </row>
    <row r="397" spans="1:4" ht="14.4" customHeight="1" x14ac:dyDescent="0.3">
      <c r="A397" s="1">
        <v>395</v>
      </c>
      <c r="B397">
        <v>209506</v>
      </c>
      <c r="C397">
        <v>205505</v>
      </c>
      <c r="D397" s="1">
        <v>0</v>
      </c>
    </row>
    <row r="398" spans="1:4" ht="14.4" customHeight="1" x14ac:dyDescent="0.3">
      <c r="A398" s="1">
        <v>396</v>
      </c>
      <c r="B398">
        <v>209506</v>
      </c>
      <c r="C398">
        <v>207238</v>
      </c>
      <c r="D398" s="1">
        <v>0</v>
      </c>
    </row>
    <row r="399" spans="1:4" ht="14.4" customHeight="1" x14ac:dyDescent="0.3">
      <c r="A399" s="1">
        <v>397</v>
      </c>
      <c r="B399">
        <v>209506</v>
      </c>
      <c r="C399">
        <v>207561</v>
      </c>
      <c r="D399" s="1">
        <v>0</v>
      </c>
    </row>
    <row r="400" spans="1:4" ht="14.4" customHeight="1" x14ac:dyDescent="0.3">
      <c r="A400" s="1">
        <v>398</v>
      </c>
      <c r="B400">
        <v>209506</v>
      </c>
      <c r="C400">
        <v>206872</v>
      </c>
      <c r="D400" s="1">
        <v>0</v>
      </c>
    </row>
    <row r="401" spans="1:4" ht="14.4" customHeight="1" x14ac:dyDescent="0.3">
      <c r="A401" s="1">
        <v>399</v>
      </c>
      <c r="B401">
        <v>209506</v>
      </c>
      <c r="C401">
        <v>208511</v>
      </c>
      <c r="D401" s="1">
        <v>0</v>
      </c>
    </row>
    <row r="402" spans="1:4" ht="14.4" customHeight="1" x14ac:dyDescent="0.3">
      <c r="A402" s="1">
        <v>400</v>
      </c>
      <c r="B402">
        <v>209506</v>
      </c>
      <c r="C402">
        <v>222031</v>
      </c>
      <c r="D402" s="1">
        <v>5</v>
      </c>
    </row>
    <row r="403" spans="1:4" ht="14.4" customHeight="1" x14ac:dyDescent="0.3">
      <c r="A403" s="1">
        <v>401</v>
      </c>
      <c r="B403">
        <v>209506</v>
      </c>
      <c r="C403">
        <v>209491</v>
      </c>
      <c r="D403" s="1">
        <v>0</v>
      </c>
    </row>
    <row r="404" spans="1:4" ht="14.4" customHeight="1" x14ac:dyDescent="0.3">
      <c r="A404" s="1">
        <v>402</v>
      </c>
      <c r="B404">
        <v>209506</v>
      </c>
      <c r="C404">
        <v>208624</v>
      </c>
      <c r="D404" s="1">
        <v>0</v>
      </c>
    </row>
    <row r="405" spans="1:4" ht="14.4" customHeight="1" x14ac:dyDescent="0.3">
      <c r="A405" s="1">
        <v>403</v>
      </c>
      <c r="B405">
        <v>209506</v>
      </c>
      <c r="C405">
        <v>207259</v>
      </c>
      <c r="D405" s="1">
        <v>0</v>
      </c>
    </row>
    <row r="406" spans="1:4" ht="14.4" customHeight="1" x14ac:dyDescent="0.3">
      <c r="A406" s="1">
        <v>404</v>
      </c>
      <c r="B406">
        <v>209506</v>
      </c>
      <c r="C406">
        <v>208777</v>
      </c>
      <c r="D406" s="1">
        <v>0</v>
      </c>
    </row>
    <row r="407" spans="1:4" ht="14.4" customHeight="1" x14ac:dyDescent="0.3">
      <c r="A407" s="1">
        <v>405</v>
      </c>
      <c r="B407">
        <v>208480</v>
      </c>
      <c r="C407">
        <v>207468</v>
      </c>
      <c r="D407" s="1">
        <v>0</v>
      </c>
    </row>
    <row r="408" spans="1:4" ht="14.4" customHeight="1" x14ac:dyDescent="0.3">
      <c r="A408" s="1">
        <v>406</v>
      </c>
      <c r="B408">
        <v>208480</v>
      </c>
      <c r="C408">
        <v>208011</v>
      </c>
      <c r="D408" s="1">
        <v>0</v>
      </c>
    </row>
    <row r="409" spans="1:4" ht="14.4" customHeight="1" x14ac:dyDescent="0.3">
      <c r="A409" s="1">
        <v>407</v>
      </c>
      <c r="B409">
        <v>208480</v>
      </c>
      <c r="C409">
        <v>208596</v>
      </c>
      <c r="D409" s="1">
        <v>0</v>
      </c>
    </row>
    <row r="410" spans="1:4" ht="14.4" customHeight="1" x14ac:dyDescent="0.3">
      <c r="A410" s="1">
        <v>408</v>
      </c>
      <c r="B410">
        <v>208480</v>
      </c>
      <c r="C410">
        <v>207967</v>
      </c>
      <c r="D410" s="1">
        <v>0</v>
      </c>
    </row>
    <row r="411" spans="1:4" ht="14.4" customHeight="1" x14ac:dyDescent="0.3">
      <c r="A411" s="1">
        <v>409</v>
      </c>
      <c r="B411">
        <v>208480</v>
      </c>
      <c r="C411">
        <v>222079</v>
      </c>
      <c r="D411" s="1">
        <v>0</v>
      </c>
    </row>
    <row r="412" spans="1:4" ht="14.4" customHeight="1" x14ac:dyDescent="0.3">
      <c r="A412" s="1">
        <v>410</v>
      </c>
      <c r="B412">
        <v>208480</v>
      </c>
      <c r="C412">
        <v>207633</v>
      </c>
      <c r="D412" s="1">
        <v>0</v>
      </c>
    </row>
    <row r="413" spans="1:4" ht="14.4" customHeight="1" x14ac:dyDescent="0.3">
      <c r="A413" s="1">
        <v>411</v>
      </c>
      <c r="B413">
        <v>208480</v>
      </c>
      <c r="C413">
        <v>206764</v>
      </c>
      <c r="D413" s="1">
        <v>0</v>
      </c>
    </row>
    <row r="414" spans="1:4" ht="14.4" customHeight="1" x14ac:dyDescent="0.3">
      <c r="A414" s="1">
        <v>412</v>
      </c>
      <c r="B414">
        <v>208480</v>
      </c>
      <c r="C414">
        <v>222054</v>
      </c>
      <c r="D414" s="1">
        <v>0</v>
      </c>
    </row>
    <row r="415" spans="1:4" ht="14.4" customHeight="1" x14ac:dyDescent="0.3">
      <c r="A415" s="1">
        <v>413</v>
      </c>
      <c r="B415">
        <v>208480</v>
      </c>
      <c r="C415">
        <v>209176</v>
      </c>
      <c r="D415" s="1">
        <v>0</v>
      </c>
    </row>
    <row r="416" spans="1:4" ht="14.4" customHeight="1" x14ac:dyDescent="0.3">
      <c r="A416" s="1">
        <v>414</v>
      </c>
      <c r="B416">
        <v>208480</v>
      </c>
      <c r="C416">
        <v>205075</v>
      </c>
      <c r="D416" s="1">
        <v>0</v>
      </c>
    </row>
    <row r="417" spans="1:4" ht="14.4" customHeight="1" x14ac:dyDescent="0.3">
      <c r="A417" s="1">
        <v>415</v>
      </c>
      <c r="B417">
        <v>208480</v>
      </c>
      <c r="C417">
        <v>206937</v>
      </c>
      <c r="D417" s="1">
        <v>0</v>
      </c>
    </row>
    <row r="418" spans="1:4" ht="14.4" customHeight="1" x14ac:dyDescent="0.3">
      <c r="A418" s="1">
        <v>416</v>
      </c>
      <c r="B418">
        <v>208480</v>
      </c>
      <c r="C418">
        <v>207758</v>
      </c>
      <c r="D418" s="1">
        <v>0</v>
      </c>
    </row>
    <row r="419" spans="1:4" ht="14.4" customHeight="1" x14ac:dyDescent="0.3">
      <c r="A419" s="1">
        <v>417</v>
      </c>
      <c r="B419">
        <v>208480</v>
      </c>
      <c r="C419">
        <v>208043</v>
      </c>
      <c r="D419" s="1">
        <v>0</v>
      </c>
    </row>
    <row r="420" spans="1:4" ht="14.4" customHeight="1" x14ac:dyDescent="0.3">
      <c r="A420" s="1">
        <v>418</v>
      </c>
      <c r="B420">
        <v>208480</v>
      </c>
      <c r="C420">
        <v>206905</v>
      </c>
      <c r="D420" s="1">
        <v>0</v>
      </c>
    </row>
    <row r="421" spans="1:4" ht="14.4" customHeight="1" x14ac:dyDescent="0.3">
      <c r="A421" s="1">
        <v>419</v>
      </c>
      <c r="B421">
        <v>208480</v>
      </c>
      <c r="C421">
        <v>222044</v>
      </c>
      <c r="D421" s="1">
        <v>0</v>
      </c>
    </row>
    <row r="422" spans="1:4" ht="14.4" customHeight="1" x14ac:dyDescent="0.3">
      <c r="A422" s="1">
        <v>420</v>
      </c>
      <c r="B422">
        <v>208480</v>
      </c>
      <c r="C422">
        <v>206770</v>
      </c>
      <c r="D422" s="1">
        <v>0</v>
      </c>
    </row>
    <row r="423" spans="1:4" ht="14.4" customHeight="1" x14ac:dyDescent="0.3">
      <c r="A423" s="1">
        <v>421</v>
      </c>
      <c r="B423">
        <v>208480</v>
      </c>
      <c r="C423">
        <v>206841</v>
      </c>
      <c r="D423" s="1">
        <v>0</v>
      </c>
    </row>
    <row r="424" spans="1:4" ht="14.4" customHeight="1" x14ac:dyDescent="0.3">
      <c r="A424" s="1">
        <v>422</v>
      </c>
      <c r="B424">
        <v>208480</v>
      </c>
      <c r="C424">
        <v>209266</v>
      </c>
      <c r="D424" s="1">
        <v>0</v>
      </c>
    </row>
    <row r="425" spans="1:4" ht="14.4" customHeight="1" x14ac:dyDescent="0.3">
      <c r="A425" s="1">
        <v>423</v>
      </c>
      <c r="B425">
        <v>208480</v>
      </c>
      <c r="C425">
        <v>232847</v>
      </c>
      <c r="D425" s="1">
        <v>5</v>
      </c>
    </row>
    <row r="426" spans="1:4" ht="14.4" customHeight="1" x14ac:dyDescent="0.3">
      <c r="A426" s="1">
        <v>424</v>
      </c>
      <c r="B426">
        <v>208480</v>
      </c>
      <c r="C426">
        <v>209136</v>
      </c>
      <c r="D426" s="1">
        <v>0</v>
      </c>
    </row>
    <row r="427" spans="1:4" ht="14.4" customHeight="1" x14ac:dyDescent="0.3">
      <c r="A427" s="1">
        <v>425</v>
      </c>
      <c r="B427">
        <v>208480</v>
      </c>
      <c r="C427">
        <v>207077</v>
      </c>
      <c r="D427" s="1">
        <v>0</v>
      </c>
    </row>
    <row r="428" spans="1:4" ht="14.4" customHeight="1" x14ac:dyDescent="0.3">
      <c r="A428" s="1">
        <v>426</v>
      </c>
      <c r="B428">
        <v>208480</v>
      </c>
      <c r="C428">
        <v>206148</v>
      </c>
      <c r="D428" s="1">
        <v>0</v>
      </c>
    </row>
    <row r="429" spans="1:4" ht="14.4" customHeight="1" x14ac:dyDescent="0.3">
      <c r="A429" s="1">
        <v>427</v>
      </c>
      <c r="B429">
        <v>208480</v>
      </c>
      <c r="C429">
        <v>208776</v>
      </c>
      <c r="D429" s="1">
        <v>0</v>
      </c>
    </row>
    <row r="430" spans="1:4" ht="14.4" customHeight="1" x14ac:dyDescent="0.3">
      <c r="A430" s="1">
        <v>428</v>
      </c>
      <c r="B430">
        <v>208480</v>
      </c>
      <c r="C430">
        <v>205551</v>
      </c>
      <c r="D430" s="1">
        <v>0</v>
      </c>
    </row>
    <row r="431" spans="1:4" ht="14.4" customHeight="1" x14ac:dyDescent="0.3">
      <c r="A431" s="1">
        <v>429</v>
      </c>
      <c r="B431">
        <v>208480</v>
      </c>
      <c r="C431">
        <v>208485</v>
      </c>
      <c r="D431" s="1">
        <v>5</v>
      </c>
    </row>
    <row r="432" spans="1:4" ht="14.4" customHeight="1" x14ac:dyDescent="0.3">
      <c r="A432" s="1">
        <v>430</v>
      </c>
      <c r="B432">
        <v>208480</v>
      </c>
      <c r="C432">
        <v>206280</v>
      </c>
      <c r="D432" s="1">
        <v>0</v>
      </c>
    </row>
    <row r="433" spans="1:4" ht="14.4" customHeight="1" x14ac:dyDescent="0.3">
      <c r="A433" s="1">
        <v>431</v>
      </c>
      <c r="B433">
        <v>208480</v>
      </c>
      <c r="C433">
        <v>205750</v>
      </c>
      <c r="D433" s="1">
        <v>0</v>
      </c>
    </row>
    <row r="434" spans="1:4" ht="14.4" customHeight="1" x14ac:dyDescent="0.3">
      <c r="A434" s="1">
        <v>432</v>
      </c>
      <c r="B434">
        <v>208480</v>
      </c>
      <c r="C434">
        <v>208622</v>
      </c>
      <c r="D434" s="1">
        <v>0</v>
      </c>
    </row>
    <row r="435" spans="1:4" ht="14.4" customHeight="1" x14ac:dyDescent="0.3">
      <c r="A435" s="1">
        <v>433</v>
      </c>
      <c r="B435">
        <v>208480</v>
      </c>
      <c r="C435">
        <v>208657</v>
      </c>
      <c r="D435" s="1">
        <v>5</v>
      </c>
    </row>
    <row r="436" spans="1:4" ht="14.4" customHeight="1" x14ac:dyDescent="0.3">
      <c r="A436" s="1">
        <v>434</v>
      </c>
      <c r="B436">
        <v>208480</v>
      </c>
      <c r="C436">
        <v>209385</v>
      </c>
      <c r="D436" s="1">
        <v>0</v>
      </c>
    </row>
    <row r="437" spans="1:4" ht="14.4" customHeight="1" x14ac:dyDescent="0.3">
      <c r="A437" s="1">
        <v>435</v>
      </c>
      <c r="B437">
        <v>208480</v>
      </c>
      <c r="C437">
        <v>205505</v>
      </c>
      <c r="D437" s="1">
        <v>0</v>
      </c>
    </row>
    <row r="438" spans="1:4" ht="14.4" customHeight="1" x14ac:dyDescent="0.3">
      <c r="A438" s="1">
        <v>436</v>
      </c>
      <c r="B438">
        <v>208480</v>
      </c>
      <c r="C438">
        <v>207238</v>
      </c>
      <c r="D438" s="1">
        <v>0</v>
      </c>
    </row>
    <row r="439" spans="1:4" ht="14.4" customHeight="1" x14ac:dyDescent="0.3">
      <c r="A439" s="1">
        <v>437</v>
      </c>
      <c r="B439">
        <v>208480</v>
      </c>
      <c r="C439">
        <v>207561</v>
      </c>
      <c r="D439" s="1">
        <v>0</v>
      </c>
    </row>
    <row r="440" spans="1:4" ht="14.4" customHeight="1" x14ac:dyDescent="0.3">
      <c r="A440" s="1">
        <v>438</v>
      </c>
      <c r="B440">
        <v>208480</v>
      </c>
      <c r="C440">
        <v>206872</v>
      </c>
      <c r="D440" s="1">
        <v>0</v>
      </c>
    </row>
    <row r="441" spans="1:4" ht="14.4" customHeight="1" x14ac:dyDescent="0.3">
      <c r="A441" s="1">
        <v>439</v>
      </c>
      <c r="B441">
        <v>208480</v>
      </c>
      <c r="C441">
        <v>208511</v>
      </c>
      <c r="D441" s="1">
        <v>5</v>
      </c>
    </row>
    <row r="442" spans="1:4" ht="14.4" customHeight="1" x14ac:dyDescent="0.3">
      <c r="A442" s="1">
        <v>440</v>
      </c>
      <c r="B442">
        <v>208480</v>
      </c>
      <c r="C442">
        <v>222031</v>
      </c>
      <c r="D442" s="1">
        <v>0</v>
      </c>
    </row>
    <row r="443" spans="1:4" ht="14.4" customHeight="1" x14ac:dyDescent="0.3">
      <c r="A443" s="1">
        <v>441</v>
      </c>
      <c r="B443">
        <v>208480</v>
      </c>
      <c r="C443">
        <v>209491</v>
      </c>
      <c r="D443" s="1">
        <v>0</v>
      </c>
    </row>
    <row r="444" spans="1:4" ht="14.4" customHeight="1" x14ac:dyDescent="0.3">
      <c r="A444" s="1">
        <v>442</v>
      </c>
      <c r="B444">
        <v>208480</v>
      </c>
      <c r="C444">
        <v>208624</v>
      </c>
      <c r="D444" s="1">
        <v>0</v>
      </c>
    </row>
    <row r="445" spans="1:4" ht="14.4" customHeight="1" x14ac:dyDescent="0.3">
      <c r="A445" s="1">
        <v>443</v>
      </c>
      <c r="B445">
        <v>208480</v>
      </c>
      <c r="C445">
        <v>207259</v>
      </c>
      <c r="D445" s="1">
        <v>0</v>
      </c>
    </row>
    <row r="446" spans="1:4" ht="14.4" customHeight="1" x14ac:dyDescent="0.3">
      <c r="A446" s="1">
        <v>444</v>
      </c>
      <c r="B446">
        <v>208480</v>
      </c>
      <c r="C446">
        <v>208777</v>
      </c>
      <c r="D446" s="1">
        <v>5</v>
      </c>
    </row>
    <row r="447" spans="1:4" ht="14.4" customHeight="1" x14ac:dyDescent="0.3">
      <c r="A447" s="1">
        <v>445</v>
      </c>
      <c r="B447">
        <v>207468</v>
      </c>
      <c r="C447">
        <v>208011</v>
      </c>
      <c r="D447" s="1">
        <v>2</v>
      </c>
    </row>
    <row r="448" spans="1:4" ht="14.4" customHeight="1" x14ac:dyDescent="0.3">
      <c r="A448" s="1">
        <v>446</v>
      </c>
      <c r="B448">
        <v>207468</v>
      </c>
      <c r="C448">
        <v>208596</v>
      </c>
      <c r="D448" s="1">
        <v>0</v>
      </c>
    </row>
    <row r="449" spans="1:4" ht="14.4" customHeight="1" x14ac:dyDescent="0.3">
      <c r="A449" s="1">
        <v>447</v>
      </c>
      <c r="B449">
        <v>207468</v>
      </c>
      <c r="C449">
        <v>207967</v>
      </c>
      <c r="D449" s="1">
        <v>0</v>
      </c>
    </row>
    <row r="450" spans="1:4" ht="14.4" customHeight="1" x14ac:dyDescent="0.3">
      <c r="A450" s="1">
        <v>448</v>
      </c>
      <c r="B450">
        <v>207468</v>
      </c>
      <c r="C450">
        <v>222079</v>
      </c>
      <c r="D450" s="1">
        <v>0</v>
      </c>
    </row>
    <row r="451" spans="1:4" ht="14.4" customHeight="1" x14ac:dyDescent="0.3">
      <c r="A451" s="1">
        <v>449</v>
      </c>
      <c r="B451">
        <v>207468</v>
      </c>
      <c r="C451">
        <v>207633</v>
      </c>
      <c r="D451" s="1">
        <v>0</v>
      </c>
    </row>
    <row r="452" spans="1:4" ht="14.4" customHeight="1" x14ac:dyDescent="0.3">
      <c r="A452" s="1">
        <v>450</v>
      </c>
      <c r="B452">
        <v>207468</v>
      </c>
      <c r="C452">
        <v>206764</v>
      </c>
      <c r="D452" s="1">
        <v>0</v>
      </c>
    </row>
    <row r="453" spans="1:4" ht="14.4" customHeight="1" x14ac:dyDescent="0.3">
      <c r="A453" s="1">
        <v>451</v>
      </c>
      <c r="B453">
        <v>207468</v>
      </c>
      <c r="C453">
        <v>222054</v>
      </c>
      <c r="D453" s="1">
        <v>0</v>
      </c>
    </row>
    <row r="454" spans="1:4" ht="14.4" customHeight="1" x14ac:dyDescent="0.3">
      <c r="A454" s="1">
        <v>452</v>
      </c>
      <c r="B454">
        <v>207468</v>
      </c>
      <c r="C454">
        <v>209176</v>
      </c>
      <c r="D454" s="1">
        <v>0</v>
      </c>
    </row>
    <row r="455" spans="1:4" ht="14.4" customHeight="1" x14ac:dyDescent="0.3">
      <c r="A455" s="1">
        <v>453</v>
      </c>
      <c r="B455">
        <v>207468</v>
      </c>
      <c r="C455">
        <v>205075</v>
      </c>
      <c r="D455" s="1">
        <v>0</v>
      </c>
    </row>
    <row r="456" spans="1:4" ht="14.4" customHeight="1" x14ac:dyDescent="0.3">
      <c r="A456" s="1">
        <v>454</v>
      </c>
      <c r="B456">
        <v>207468</v>
      </c>
      <c r="C456">
        <v>206937</v>
      </c>
      <c r="D456" s="1">
        <v>0</v>
      </c>
    </row>
    <row r="457" spans="1:4" ht="14.4" customHeight="1" x14ac:dyDescent="0.3">
      <c r="A457" s="1">
        <v>455</v>
      </c>
      <c r="B457">
        <v>207468</v>
      </c>
      <c r="C457">
        <v>207758</v>
      </c>
      <c r="D457" s="1">
        <v>0</v>
      </c>
    </row>
    <row r="458" spans="1:4" ht="14.4" customHeight="1" x14ac:dyDescent="0.3">
      <c r="A458" s="1">
        <v>456</v>
      </c>
      <c r="B458">
        <v>207468</v>
      </c>
      <c r="C458">
        <v>208043</v>
      </c>
      <c r="D458" s="1">
        <v>0</v>
      </c>
    </row>
    <row r="459" spans="1:4" ht="14.4" customHeight="1" x14ac:dyDescent="0.3">
      <c r="A459" s="1">
        <v>457</v>
      </c>
      <c r="B459">
        <v>207468</v>
      </c>
      <c r="C459">
        <v>206905</v>
      </c>
      <c r="D459" s="1">
        <v>0</v>
      </c>
    </row>
    <row r="460" spans="1:4" ht="14.4" customHeight="1" x14ac:dyDescent="0.3">
      <c r="A460" s="1">
        <v>458</v>
      </c>
      <c r="B460">
        <v>207468</v>
      </c>
      <c r="C460">
        <v>222044</v>
      </c>
      <c r="D460" s="1">
        <v>0</v>
      </c>
    </row>
    <row r="461" spans="1:4" ht="14.4" customHeight="1" x14ac:dyDescent="0.3">
      <c r="A461" s="1">
        <v>459</v>
      </c>
      <c r="B461">
        <v>207468</v>
      </c>
      <c r="C461">
        <v>206770</v>
      </c>
      <c r="D461" s="1">
        <v>0</v>
      </c>
    </row>
    <row r="462" spans="1:4" ht="14.4" customHeight="1" x14ac:dyDescent="0.3">
      <c r="A462" s="1">
        <v>460</v>
      </c>
      <c r="B462">
        <v>207468</v>
      </c>
      <c r="C462">
        <v>206841</v>
      </c>
      <c r="D462" s="1">
        <v>0</v>
      </c>
    </row>
    <row r="463" spans="1:4" ht="14.4" customHeight="1" x14ac:dyDescent="0.3">
      <c r="A463" s="1">
        <v>461</v>
      </c>
      <c r="B463">
        <v>207468</v>
      </c>
      <c r="C463">
        <v>209266</v>
      </c>
      <c r="D463" s="1">
        <v>2</v>
      </c>
    </row>
    <row r="464" spans="1:4" ht="14.4" customHeight="1" x14ac:dyDescent="0.3">
      <c r="A464" s="1">
        <v>462</v>
      </c>
      <c r="B464">
        <v>207468</v>
      </c>
      <c r="C464">
        <v>232847</v>
      </c>
      <c r="D464" s="1">
        <v>0</v>
      </c>
    </row>
    <row r="465" spans="1:4" ht="14.4" customHeight="1" x14ac:dyDescent="0.3">
      <c r="A465" s="1">
        <v>463</v>
      </c>
      <c r="B465">
        <v>207468</v>
      </c>
      <c r="C465">
        <v>209136</v>
      </c>
      <c r="D465" s="1">
        <v>0</v>
      </c>
    </row>
    <row r="466" spans="1:4" ht="14.4" customHeight="1" x14ac:dyDescent="0.3">
      <c r="A466" s="1">
        <v>464</v>
      </c>
      <c r="B466">
        <v>207468</v>
      </c>
      <c r="C466">
        <v>207077</v>
      </c>
      <c r="D466" s="1">
        <v>0</v>
      </c>
    </row>
    <row r="467" spans="1:4" ht="14.4" customHeight="1" x14ac:dyDescent="0.3">
      <c r="A467" s="1">
        <v>465</v>
      </c>
      <c r="B467">
        <v>207468</v>
      </c>
      <c r="C467">
        <v>206148</v>
      </c>
      <c r="D467" s="1">
        <v>0</v>
      </c>
    </row>
    <row r="468" spans="1:4" ht="14.4" customHeight="1" x14ac:dyDescent="0.3">
      <c r="A468" s="1">
        <v>466</v>
      </c>
      <c r="B468">
        <v>207468</v>
      </c>
      <c r="C468">
        <v>208776</v>
      </c>
      <c r="D468" s="1">
        <v>0</v>
      </c>
    </row>
    <row r="469" spans="1:4" ht="14.4" customHeight="1" x14ac:dyDescent="0.3">
      <c r="A469" s="1">
        <v>467</v>
      </c>
      <c r="B469">
        <v>207468</v>
      </c>
      <c r="C469">
        <v>205551</v>
      </c>
      <c r="D469" s="1">
        <v>2</v>
      </c>
    </row>
    <row r="470" spans="1:4" ht="14.4" customHeight="1" x14ac:dyDescent="0.3">
      <c r="A470" s="1">
        <v>468</v>
      </c>
      <c r="B470">
        <v>207468</v>
      </c>
      <c r="C470">
        <v>208485</v>
      </c>
      <c r="D470" s="1">
        <v>0</v>
      </c>
    </row>
    <row r="471" spans="1:4" ht="14.4" customHeight="1" x14ac:dyDescent="0.3">
      <c r="A471" s="1">
        <v>469</v>
      </c>
      <c r="B471">
        <v>207468</v>
      </c>
      <c r="C471">
        <v>206280</v>
      </c>
      <c r="D471" s="1">
        <v>2</v>
      </c>
    </row>
    <row r="472" spans="1:4" ht="14.4" customHeight="1" x14ac:dyDescent="0.3">
      <c r="A472" s="1">
        <v>470</v>
      </c>
      <c r="B472">
        <v>207468</v>
      </c>
      <c r="C472">
        <v>205750</v>
      </c>
      <c r="D472" s="1">
        <v>0</v>
      </c>
    </row>
    <row r="473" spans="1:4" ht="14.4" customHeight="1" x14ac:dyDescent="0.3">
      <c r="A473" s="1">
        <v>471</v>
      </c>
      <c r="B473">
        <v>207468</v>
      </c>
      <c r="C473">
        <v>208622</v>
      </c>
      <c r="D473" s="1">
        <v>0</v>
      </c>
    </row>
    <row r="474" spans="1:4" ht="14.4" customHeight="1" x14ac:dyDescent="0.3">
      <c r="A474" s="1">
        <v>472</v>
      </c>
      <c r="B474">
        <v>207468</v>
      </c>
      <c r="C474">
        <v>208657</v>
      </c>
      <c r="D474" s="1">
        <v>0</v>
      </c>
    </row>
    <row r="475" spans="1:4" ht="14.4" customHeight="1" x14ac:dyDescent="0.3">
      <c r="A475" s="1">
        <v>473</v>
      </c>
      <c r="B475">
        <v>207468</v>
      </c>
      <c r="C475">
        <v>209385</v>
      </c>
      <c r="D475" s="1">
        <v>0</v>
      </c>
    </row>
    <row r="476" spans="1:4" ht="14.4" customHeight="1" x14ac:dyDescent="0.3">
      <c r="A476" s="1">
        <v>474</v>
      </c>
      <c r="B476">
        <v>207468</v>
      </c>
      <c r="C476">
        <v>205505</v>
      </c>
      <c r="D476" s="1">
        <v>0</v>
      </c>
    </row>
    <row r="477" spans="1:4" ht="14.4" customHeight="1" x14ac:dyDescent="0.3">
      <c r="A477" s="1">
        <v>475</v>
      </c>
      <c r="B477">
        <v>207468</v>
      </c>
      <c r="C477">
        <v>207238</v>
      </c>
      <c r="D477" s="1">
        <v>0</v>
      </c>
    </row>
    <row r="478" spans="1:4" ht="14.4" customHeight="1" x14ac:dyDescent="0.3">
      <c r="A478" s="1">
        <v>476</v>
      </c>
      <c r="B478">
        <v>207468</v>
      </c>
      <c r="C478">
        <v>207561</v>
      </c>
      <c r="D478" s="1">
        <v>0</v>
      </c>
    </row>
    <row r="479" spans="1:4" ht="14.4" customHeight="1" x14ac:dyDescent="0.3">
      <c r="A479" s="1">
        <v>477</v>
      </c>
      <c r="B479">
        <v>207468</v>
      </c>
      <c r="C479">
        <v>206872</v>
      </c>
      <c r="D479" s="1">
        <v>0</v>
      </c>
    </row>
    <row r="480" spans="1:4" ht="14.4" customHeight="1" x14ac:dyDescent="0.3">
      <c r="A480" s="1">
        <v>478</v>
      </c>
      <c r="B480">
        <v>207468</v>
      </c>
      <c r="C480">
        <v>208511</v>
      </c>
      <c r="D480" s="1">
        <v>0</v>
      </c>
    </row>
    <row r="481" spans="1:4" ht="14.4" customHeight="1" x14ac:dyDescent="0.3">
      <c r="A481" s="1">
        <v>479</v>
      </c>
      <c r="B481">
        <v>207468</v>
      </c>
      <c r="C481">
        <v>222031</v>
      </c>
      <c r="D481" s="1">
        <v>0</v>
      </c>
    </row>
    <row r="482" spans="1:4" ht="14.4" customHeight="1" x14ac:dyDescent="0.3">
      <c r="A482" s="1">
        <v>480</v>
      </c>
      <c r="B482">
        <v>207468</v>
      </c>
      <c r="C482">
        <v>209491</v>
      </c>
      <c r="D482" s="1">
        <v>0</v>
      </c>
    </row>
    <row r="483" spans="1:4" ht="14.4" customHeight="1" x14ac:dyDescent="0.3">
      <c r="A483" s="1">
        <v>481</v>
      </c>
      <c r="B483">
        <v>207468</v>
      </c>
      <c r="C483">
        <v>208624</v>
      </c>
      <c r="D483" s="1">
        <v>0</v>
      </c>
    </row>
    <row r="484" spans="1:4" ht="14.4" customHeight="1" x14ac:dyDescent="0.3">
      <c r="A484" s="1">
        <v>482</v>
      </c>
      <c r="B484">
        <v>207468</v>
      </c>
      <c r="C484">
        <v>207259</v>
      </c>
      <c r="D484" s="1">
        <v>0</v>
      </c>
    </row>
    <row r="485" spans="1:4" ht="14.4" customHeight="1" x14ac:dyDescent="0.3">
      <c r="A485" s="1">
        <v>483</v>
      </c>
      <c r="B485">
        <v>207468</v>
      </c>
      <c r="C485">
        <v>208777</v>
      </c>
      <c r="D485" s="1">
        <v>0</v>
      </c>
    </row>
    <row r="486" spans="1:4" ht="14.4" customHeight="1" x14ac:dyDescent="0.3">
      <c r="A486" s="1">
        <v>484</v>
      </c>
      <c r="B486">
        <v>208011</v>
      </c>
      <c r="C486">
        <v>208596</v>
      </c>
      <c r="D486" s="1">
        <v>0</v>
      </c>
    </row>
    <row r="487" spans="1:4" ht="14.4" customHeight="1" x14ac:dyDescent="0.3">
      <c r="A487" s="1">
        <v>485</v>
      </c>
      <c r="B487">
        <v>208011</v>
      </c>
      <c r="C487">
        <v>207967</v>
      </c>
      <c r="D487" s="1">
        <v>0</v>
      </c>
    </row>
    <row r="488" spans="1:4" ht="14.4" customHeight="1" x14ac:dyDescent="0.3">
      <c r="A488" s="1">
        <v>486</v>
      </c>
      <c r="B488">
        <v>208011</v>
      </c>
      <c r="C488">
        <v>222079</v>
      </c>
      <c r="D488" s="1">
        <v>0</v>
      </c>
    </row>
    <row r="489" spans="1:4" ht="14.4" customHeight="1" x14ac:dyDescent="0.3">
      <c r="A489" s="1">
        <v>487</v>
      </c>
      <c r="B489">
        <v>208011</v>
      </c>
      <c r="C489">
        <v>207633</v>
      </c>
      <c r="D489" s="1">
        <v>0</v>
      </c>
    </row>
    <row r="490" spans="1:4" ht="14.4" customHeight="1" x14ac:dyDescent="0.3">
      <c r="A490" s="1">
        <v>488</v>
      </c>
      <c r="B490">
        <v>208011</v>
      </c>
      <c r="C490">
        <v>206764</v>
      </c>
      <c r="D490" s="1">
        <v>0</v>
      </c>
    </row>
    <row r="491" spans="1:4" ht="14.4" customHeight="1" x14ac:dyDescent="0.3">
      <c r="A491" s="1">
        <v>489</v>
      </c>
      <c r="B491">
        <v>208011</v>
      </c>
      <c r="C491">
        <v>222054</v>
      </c>
      <c r="D491" s="1">
        <v>0</v>
      </c>
    </row>
    <row r="492" spans="1:4" ht="14.4" customHeight="1" x14ac:dyDescent="0.3">
      <c r="A492" s="1">
        <v>490</v>
      </c>
      <c r="B492">
        <v>208011</v>
      </c>
      <c r="C492">
        <v>209176</v>
      </c>
      <c r="D492" s="1">
        <v>0</v>
      </c>
    </row>
    <row r="493" spans="1:4" ht="14.4" customHeight="1" x14ac:dyDescent="0.3">
      <c r="A493" s="1">
        <v>491</v>
      </c>
      <c r="B493">
        <v>208011</v>
      </c>
      <c r="C493">
        <v>205075</v>
      </c>
      <c r="D493" s="1">
        <v>0</v>
      </c>
    </row>
    <row r="494" spans="1:4" ht="14.4" customHeight="1" x14ac:dyDescent="0.3">
      <c r="A494" s="1">
        <v>492</v>
      </c>
      <c r="B494">
        <v>208011</v>
      </c>
      <c r="C494">
        <v>206937</v>
      </c>
      <c r="D494" s="1">
        <v>0</v>
      </c>
    </row>
    <row r="495" spans="1:4" ht="14.4" customHeight="1" x14ac:dyDescent="0.3">
      <c r="A495" s="1">
        <v>493</v>
      </c>
      <c r="B495">
        <v>208011</v>
      </c>
      <c r="C495">
        <v>207758</v>
      </c>
      <c r="D495" s="1">
        <v>0</v>
      </c>
    </row>
    <row r="496" spans="1:4" ht="14.4" customHeight="1" x14ac:dyDescent="0.3">
      <c r="A496" s="1">
        <v>494</v>
      </c>
      <c r="B496">
        <v>208011</v>
      </c>
      <c r="C496">
        <v>208043</v>
      </c>
      <c r="D496" s="1">
        <v>0</v>
      </c>
    </row>
    <row r="497" spans="1:4" ht="14.4" customHeight="1" x14ac:dyDescent="0.3">
      <c r="A497" s="1">
        <v>495</v>
      </c>
      <c r="B497">
        <v>208011</v>
      </c>
      <c r="C497">
        <v>206905</v>
      </c>
      <c r="D497" s="1">
        <v>0</v>
      </c>
    </row>
    <row r="498" spans="1:4" ht="14.4" customHeight="1" x14ac:dyDescent="0.3">
      <c r="A498" s="1">
        <v>496</v>
      </c>
      <c r="B498">
        <v>208011</v>
      </c>
      <c r="C498">
        <v>222044</v>
      </c>
      <c r="D498" s="1">
        <v>0</v>
      </c>
    </row>
    <row r="499" spans="1:4" ht="14.4" customHeight="1" x14ac:dyDescent="0.3">
      <c r="A499" s="1">
        <v>497</v>
      </c>
      <c r="B499">
        <v>208011</v>
      </c>
      <c r="C499">
        <v>206770</v>
      </c>
      <c r="D499" s="1">
        <v>0</v>
      </c>
    </row>
    <row r="500" spans="1:4" ht="14.4" customHeight="1" x14ac:dyDescent="0.3">
      <c r="A500" s="1">
        <v>498</v>
      </c>
      <c r="B500">
        <v>208011</v>
      </c>
      <c r="C500">
        <v>206841</v>
      </c>
      <c r="D500" s="1">
        <v>0</v>
      </c>
    </row>
    <row r="501" spans="1:4" ht="14.4" customHeight="1" x14ac:dyDescent="0.3">
      <c r="A501" s="1">
        <v>499</v>
      </c>
      <c r="B501">
        <v>208011</v>
      </c>
      <c r="C501">
        <v>209266</v>
      </c>
      <c r="D501" s="1">
        <v>5</v>
      </c>
    </row>
    <row r="502" spans="1:4" ht="14.4" customHeight="1" x14ac:dyDescent="0.3">
      <c r="A502" s="1">
        <v>500</v>
      </c>
      <c r="B502">
        <v>208011</v>
      </c>
      <c r="C502">
        <v>232847</v>
      </c>
      <c r="D502" s="1">
        <v>0</v>
      </c>
    </row>
    <row r="503" spans="1:4" ht="14.4" customHeight="1" x14ac:dyDescent="0.3">
      <c r="A503" s="1">
        <v>501</v>
      </c>
      <c r="B503">
        <v>208011</v>
      </c>
      <c r="C503">
        <v>209136</v>
      </c>
      <c r="D503" s="1">
        <v>0</v>
      </c>
    </row>
    <row r="504" spans="1:4" ht="14.4" customHeight="1" x14ac:dyDescent="0.3">
      <c r="A504" s="1">
        <v>502</v>
      </c>
      <c r="B504">
        <v>208011</v>
      </c>
      <c r="C504">
        <v>207077</v>
      </c>
      <c r="D504" s="1">
        <v>0</v>
      </c>
    </row>
    <row r="505" spans="1:4" ht="14.4" customHeight="1" x14ac:dyDescent="0.3">
      <c r="A505" s="1">
        <v>503</v>
      </c>
      <c r="B505">
        <v>208011</v>
      </c>
      <c r="C505">
        <v>206148</v>
      </c>
      <c r="D505" s="1">
        <v>0</v>
      </c>
    </row>
    <row r="506" spans="1:4" ht="14.4" customHeight="1" x14ac:dyDescent="0.3">
      <c r="A506" s="1">
        <v>504</v>
      </c>
      <c r="B506">
        <v>208011</v>
      </c>
      <c r="C506">
        <v>208776</v>
      </c>
      <c r="D506" s="1">
        <v>0</v>
      </c>
    </row>
    <row r="507" spans="1:4" ht="14.4" customHeight="1" x14ac:dyDescent="0.3">
      <c r="A507" s="1">
        <v>505</v>
      </c>
      <c r="B507">
        <v>208011</v>
      </c>
      <c r="C507">
        <v>205551</v>
      </c>
      <c r="D507" s="1">
        <v>5</v>
      </c>
    </row>
    <row r="508" spans="1:4" ht="14.4" customHeight="1" x14ac:dyDescent="0.3">
      <c r="A508" s="1">
        <v>506</v>
      </c>
      <c r="B508">
        <v>208011</v>
      </c>
      <c r="C508">
        <v>208485</v>
      </c>
      <c r="D508" s="1">
        <v>0</v>
      </c>
    </row>
    <row r="509" spans="1:4" ht="14.4" customHeight="1" x14ac:dyDescent="0.3">
      <c r="A509" s="1">
        <v>507</v>
      </c>
      <c r="B509">
        <v>208011</v>
      </c>
      <c r="C509">
        <v>206280</v>
      </c>
      <c r="D509" s="1">
        <v>0</v>
      </c>
    </row>
    <row r="510" spans="1:4" ht="14.4" customHeight="1" x14ac:dyDescent="0.3">
      <c r="A510" s="1">
        <v>508</v>
      </c>
      <c r="B510">
        <v>208011</v>
      </c>
      <c r="C510">
        <v>205750</v>
      </c>
      <c r="D510" s="1">
        <v>0</v>
      </c>
    </row>
    <row r="511" spans="1:4" ht="14.4" customHeight="1" x14ac:dyDescent="0.3">
      <c r="A511" s="1">
        <v>509</v>
      </c>
      <c r="B511">
        <v>208011</v>
      </c>
      <c r="C511">
        <v>208622</v>
      </c>
      <c r="D511" s="1">
        <v>0</v>
      </c>
    </row>
    <row r="512" spans="1:4" ht="14.4" customHeight="1" x14ac:dyDescent="0.3">
      <c r="A512" s="1">
        <v>510</v>
      </c>
      <c r="B512">
        <v>208011</v>
      </c>
      <c r="C512">
        <v>208657</v>
      </c>
      <c r="D512" s="1">
        <v>0</v>
      </c>
    </row>
    <row r="513" spans="1:4" ht="14.4" customHeight="1" x14ac:dyDescent="0.3">
      <c r="A513" s="1">
        <v>511</v>
      </c>
      <c r="B513">
        <v>208011</v>
      </c>
      <c r="C513">
        <v>209385</v>
      </c>
      <c r="D513" s="1">
        <v>2</v>
      </c>
    </row>
    <row r="514" spans="1:4" ht="14.4" customHeight="1" x14ac:dyDescent="0.3">
      <c r="A514" s="1">
        <v>512</v>
      </c>
      <c r="B514">
        <v>208011</v>
      </c>
      <c r="C514">
        <v>205505</v>
      </c>
      <c r="D514" s="1">
        <v>0</v>
      </c>
    </row>
    <row r="515" spans="1:4" ht="14.4" customHeight="1" x14ac:dyDescent="0.3">
      <c r="A515" s="1">
        <v>513</v>
      </c>
      <c r="B515">
        <v>208011</v>
      </c>
      <c r="C515">
        <v>207238</v>
      </c>
      <c r="D515" s="1">
        <v>0</v>
      </c>
    </row>
    <row r="516" spans="1:4" ht="14.4" customHeight="1" x14ac:dyDescent="0.3">
      <c r="A516" s="1">
        <v>514</v>
      </c>
      <c r="B516">
        <v>208011</v>
      </c>
      <c r="C516">
        <v>207561</v>
      </c>
      <c r="D516" s="1">
        <v>0</v>
      </c>
    </row>
    <row r="517" spans="1:4" ht="14.4" customHeight="1" x14ac:dyDescent="0.3">
      <c r="A517" s="1">
        <v>515</v>
      </c>
      <c r="B517">
        <v>208011</v>
      </c>
      <c r="C517">
        <v>206872</v>
      </c>
      <c r="D517" s="1">
        <v>0</v>
      </c>
    </row>
    <row r="518" spans="1:4" ht="14.4" customHeight="1" x14ac:dyDescent="0.3">
      <c r="A518" s="1">
        <v>516</v>
      </c>
      <c r="B518">
        <v>208011</v>
      </c>
      <c r="C518">
        <v>208511</v>
      </c>
      <c r="D518" s="1">
        <v>0</v>
      </c>
    </row>
    <row r="519" spans="1:4" ht="14.4" customHeight="1" x14ac:dyDescent="0.3">
      <c r="A519" s="1">
        <v>517</v>
      </c>
      <c r="B519">
        <v>208011</v>
      </c>
      <c r="C519">
        <v>222031</v>
      </c>
      <c r="D519" s="1">
        <v>0</v>
      </c>
    </row>
    <row r="520" spans="1:4" ht="14.4" customHeight="1" x14ac:dyDescent="0.3">
      <c r="A520" s="1">
        <v>518</v>
      </c>
      <c r="B520">
        <v>208011</v>
      </c>
      <c r="C520">
        <v>209491</v>
      </c>
      <c r="D520" s="1">
        <v>2</v>
      </c>
    </row>
    <row r="521" spans="1:4" ht="14.4" customHeight="1" x14ac:dyDescent="0.3">
      <c r="A521" s="1">
        <v>519</v>
      </c>
      <c r="B521">
        <v>208011</v>
      </c>
      <c r="C521">
        <v>208624</v>
      </c>
      <c r="D521" s="1">
        <v>0</v>
      </c>
    </row>
    <row r="522" spans="1:4" ht="14.4" customHeight="1" x14ac:dyDescent="0.3">
      <c r="A522" s="1">
        <v>520</v>
      </c>
      <c r="B522">
        <v>208011</v>
      </c>
      <c r="C522">
        <v>207259</v>
      </c>
      <c r="D522" s="1">
        <v>0</v>
      </c>
    </row>
    <row r="523" spans="1:4" ht="14.4" customHeight="1" x14ac:dyDescent="0.3">
      <c r="A523" s="1">
        <v>521</v>
      </c>
      <c r="B523">
        <v>208011</v>
      </c>
      <c r="C523">
        <v>208777</v>
      </c>
      <c r="D523" s="1">
        <v>0</v>
      </c>
    </row>
    <row r="524" spans="1:4" ht="14.4" customHeight="1" x14ac:dyDescent="0.3">
      <c r="A524" s="1">
        <v>522</v>
      </c>
      <c r="B524">
        <v>208596</v>
      </c>
      <c r="C524">
        <v>207967</v>
      </c>
      <c r="D524" s="1">
        <v>0</v>
      </c>
    </row>
    <row r="525" spans="1:4" ht="14.4" customHeight="1" x14ac:dyDescent="0.3">
      <c r="A525" s="1">
        <v>523</v>
      </c>
      <c r="B525">
        <v>208596</v>
      </c>
      <c r="C525">
        <v>222079</v>
      </c>
      <c r="D525" s="1">
        <v>0</v>
      </c>
    </row>
    <row r="526" spans="1:4" ht="14.4" customHeight="1" x14ac:dyDescent="0.3">
      <c r="A526" s="1">
        <v>524</v>
      </c>
      <c r="B526">
        <v>208596</v>
      </c>
      <c r="C526">
        <v>207633</v>
      </c>
      <c r="D526" s="1">
        <v>0</v>
      </c>
    </row>
    <row r="527" spans="1:4" ht="14.4" customHeight="1" x14ac:dyDescent="0.3">
      <c r="A527" s="1">
        <v>525</v>
      </c>
      <c r="B527">
        <v>208596</v>
      </c>
      <c r="C527">
        <v>206764</v>
      </c>
      <c r="D527" s="1">
        <v>0</v>
      </c>
    </row>
    <row r="528" spans="1:4" ht="14.4" customHeight="1" x14ac:dyDescent="0.3">
      <c r="A528" s="1">
        <v>526</v>
      </c>
      <c r="B528">
        <v>208596</v>
      </c>
      <c r="C528">
        <v>222054</v>
      </c>
      <c r="D528" s="1">
        <v>0</v>
      </c>
    </row>
    <row r="529" spans="1:4" ht="14.4" customHeight="1" x14ac:dyDescent="0.3">
      <c r="A529" s="1">
        <v>527</v>
      </c>
      <c r="B529">
        <v>208596</v>
      </c>
      <c r="C529">
        <v>209176</v>
      </c>
      <c r="D529" s="1">
        <v>0</v>
      </c>
    </row>
    <row r="530" spans="1:4" ht="14.4" customHeight="1" x14ac:dyDescent="0.3">
      <c r="A530" s="1">
        <v>528</v>
      </c>
      <c r="B530">
        <v>208596</v>
      </c>
      <c r="C530">
        <v>205075</v>
      </c>
      <c r="D530" s="1">
        <v>0</v>
      </c>
    </row>
    <row r="531" spans="1:4" ht="14.4" customHeight="1" x14ac:dyDescent="0.3">
      <c r="A531" s="1">
        <v>529</v>
      </c>
      <c r="B531">
        <v>208596</v>
      </c>
      <c r="C531">
        <v>206937</v>
      </c>
      <c r="D531" s="1">
        <v>0</v>
      </c>
    </row>
    <row r="532" spans="1:4" ht="14.4" customHeight="1" x14ac:dyDescent="0.3">
      <c r="A532" s="1">
        <v>530</v>
      </c>
      <c r="B532">
        <v>208596</v>
      </c>
      <c r="C532">
        <v>207758</v>
      </c>
      <c r="D532" s="1">
        <v>0</v>
      </c>
    </row>
    <row r="533" spans="1:4" ht="14.4" customHeight="1" x14ac:dyDescent="0.3">
      <c r="A533" s="1">
        <v>531</v>
      </c>
      <c r="B533">
        <v>208596</v>
      </c>
      <c r="C533">
        <v>208043</v>
      </c>
      <c r="D533" s="1">
        <v>0</v>
      </c>
    </row>
    <row r="534" spans="1:4" ht="14.4" customHeight="1" x14ac:dyDescent="0.3">
      <c r="A534" s="1">
        <v>532</v>
      </c>
      <c r="B534">
        <v>208596</v>
      </c>
      <c r="C534">
        <v>206905</v>
      </c>
      <c r="D534" s="1">
        <v>0</v>
      </c>
    </row>
    <row r="535" spans="1:4" ht="14.4" customHeight="1" x14ac:dyDescent="0.3">
      <c r="A535" s="1">
        <v>533</v>
      </c>
      <c r="B535">
        <v>208596</v>
      </c>
      <c r="C535">
        <v>222044</v>
      </c>
      <c r="D535" s="1">
        <v>0</v>
      </c>
    </row>
    <row r="536" spans="1:4" ht="14.4" customHeight="1" x14ac:dyDescent="0.3">
      <c r="A536" s="1">
        <v>534</v>
      </c>
      <c r="B536">
        <v>208596</v>
      </c>
      <c r="C536">
        <v>206770</v>
      </c>
      <c r="D536" s="1">
        <v>0</v>
      </c>
    </row>
    <row r="537" spans="1:4" ht="14.4" customHeight="1" x14ac:dyDescent="0.3">
      <c r="A537" s="1">
        <v>535</v>
      </c>
      <c r="B537">
        <v>208596</v>
      </c>
      <c r="C537">
        <v>206841</v>
      </c>
      <c r="D537" s="1">
        <v>0</v>
      </c>
    </row>
    <row r="538" spans="1:4" ht="14.4" customHeight="1" x14ac:dyDescent="0.3">
      <c r="A538" s="1">
        <v>536</v>
      </c>
      <c r="B538">
        <v>208596</v>
      </c>
      <c r="C538">
        <v>209266</v>
      </c>
      <c r="D538" s="1">
        <v>0</v>
      </c>
    </row>
    <row r="539" spans="1:4" ht="14.4" customHeight="1" x14ac:dyDescent="0.3">
      <c r="A539" s="1">
        <v>537</v>
      </c>
      <c r="B539">
        <v>208596</v>
      </c>
      <c r="C539">
        <v>232847</v>
      </c>
      <c r="D539" s="1">
        <v>0</v>
      </c>
    </row>
    <row r="540" spans="1:4" ht="14.4" customHeight="1" x14ac:dyDescent="0.3">
      <c r="A540" s="1">
        <v>538</v>
      </c>
      <c r="B540">
        <v>208596</v>
      </c>
      <c r="C540">
        <v>209136</v>
      </c>
      <c r="D540" s="1">
        <v>0</v>
      </c>
    </row>
    <row r="541" spans="1:4" ht="14.4" customHeight="1" x14ac:dyDescent="0.3">
      <c r="A541" s="1">
        <v>539</v>
      </c>
      <c r="B541">
        <v>208596</v>
      </c>
      <c r="C541">
        <v>207077</v>
      </c>
      <c r="D541" s="1">
        <v>0</v>
      </c>
    </row>
    <row r="542" spans="1:4" ht="14.4" customHeight="1" x14ac:dyDescent="0.3">
      <c r="A542" s="1">
        <v>540</v>
      </c>
      <c r="B542">
        <v>208596</v>
      </c>
      <c r="C542">
        <v>206148</v>
      </c>
      <c r="D542" s="1">
        <v>0</v>
      </c>
    </row>
    <row r="543" spans="1:4" ht="14.4" customHeight="1" x14ac:dyDescent="0.3">
      <c r="A543" s="1">
        <v>541</v>
      </c>
      <c r="B543">
        <v>208596</v>
      </c>
      <c r="C543">
        <v>208776</v>
      </c>
      <c r="D543" s="1">
        <v>0</v>
      </c>
    </row>
    <row r="544" spans="1:4" ht="14.4" customHeight="1" x14ac:dyDescent="0.3">
      <c r="A544" s="1">
        <v>542</v>
      </c>
      <c r="B544">
        <v>208596</v>
      </c>
      <c r="C544">
        <v>205551</v>
      </c>
      <c r="D544" s="1">
        <v>0</v>
      </c>
    </row>
    <row r="545" spans="1:4" ht="14.4" customHeight="1" x14ac:dyDescent="0.3">
      <c r="A545" s="1">
        <v>543</v>
      </c>
      <c r="B545">
        <v>208596</v>
      </c>
      <c r="C545">
        <v>208485</v>
      </c>
      <c r="D545" s="1">
        <v>0</v>
      </c>
    </row>
    <row r="546" spans="1:4" ht="14.4" customHeight="1" x14ac:dyDescent="0.3">
      <c r="A546" s="1">
        <v>544</v>
      </c>
      <c r="B546">
        <v>208596</v>
      </c>
      <c r="C546">
        <v>206280</v>
      </c>
      <c r="D546" s="1">
        <v>0</v>
      </c>
    </row>
    <row r="547" spans="1:4" ht="14.4" customHeight="1" x14ac:dyDescent="0.3">
      <c r="A547" s="1">
        <v>545</v>
      </c>
      <c r="B547">
        <v>208596</v>
      </c>
      <c r="C547">
        <v>205750</v>
      </c>
      <c r="D547" s="1">
        <v>0</v>
      </c>
    </row>
    <row r="548" spans="1:4" ht="14.4" customHeight="1" x14ac:dyDescent="0.3">
      <c r="A548" s="1">
        <v>546</v>
      </c>
      <c r="B548">
        <v>208596</v>
      </c>
      <c r="C548">
        <v>208622</v>
      </c>
      <c r="D548" s="1">
        <v>0</v>
      </c>
    </row>
    <row r="549" spans="1:4" ht="14.4" customHeight="1" x14ac:dyDescent="0.3">
      <c r="A549" s="1">
        <v>547</v>
      </c>
      <c r="B549">
        <v>208596</v>
      </c>
      <c r="C549">
        <v>208657</v>
      </c>
      <c r="D549" s="1">
        <v>0</v>
      </c>
    </row>
    <row r="550" spans="1:4" ht="14.4" customHeight="1" x14ac:dyDescent="0.3">
      <c r="A550" s="1">
        <v>548</v>
      </c>
      <c r="B550">
        <v>208596</v>
      </c>
      <c r="C550">
        <v>209385</v>
      </c>
      <c r="D550" s="1">
        <v>0</v>
      </c>
    </row>
    <row r="551" spans="1:4" ht="14.4" customHeight="1" x14ac:dyDescent="0.3">
      <c r="A551" s="1">
        <v>549</v>
      </c>
      <c r="B551">
        <v>208596</v>
      </c>
      <c r="C551">
        <v>205505</v>
      </c>
      <c r="D551" s="1">
        <v>0</v>
      </c>
    </row>
    <row r="552" spans="1:4" ht="14.4" customHeight="1" x14ac:dyDescent="0.3">
      <c r="A552" s="1">
        <v>550</v>
      </c>
      <c r="B552">
        <v>208596</v>
      </c>
      <c r="C552">
        <v>207238</v>
      </c>
      <c r="D552" s="1">
        <v>0</v>
      </c>
    </row>
    <row r="553" spans="1:4" ht="14.4" customHeight="1" x14ac:dyDescent="0.3">
      <c r="A553" s="1">
        <v>551</v>
      </c>
      <c r="B553">
        <v>208596</v>
      </c>
      <c r="C553">
        <v>207561</v>
      </c>
      <c r="D553" s="1">
        <v>0</v>
      </c>
    </row>
    <row r="554" spans="1:4" ht="14.4" customHeight="1" x14ac:dyDescent="0.3">
      <c r="A554" s="1">
        <v>552</v>
      </c>
      <c r="B554">
        <v>208596</v>
      </c>
      <c r="C554">
        <v>206872</v>
      </c>
      <c r="D554" s="1">
        <v>0</v>
      </c>
    </row>
    <row r="555" spans="1:4" ht="14.4" customHeight="1" x14ac:dyDescent="0.3">
      <c r="A555" s="1">
        <v>553</v>
      </c>
      <c r="B555">
        <v>208596</v>
      </c>
      <c r="C555">
        <v>208511</v>
      </c>
      <c r="D555" s="1">
        <v>0</v>
      </c>
    </row>
    <row r="556" spans="1:4" ht="14.4" customHeight="1" x14ac:dyDescent="0.3">
      <c r="A556" s="1">
        <v>554</v>
      </c>
      <c r="B556">
        <v>208596</v>
      </c>
      <c r="C556">
        <v>222031</v>
      </c>
      <c r="D556" s="1">
        <v>0</v>
      </c>
    </row>
    <row r="557" spans="1:4" ht="14.4" customHeight="1" x14ac:dyDescent="0.3">
      <c r="A557" s="1">
        <v>555</v>
      </c>
      <c r="B557">
        <v>208596</v>
      </c>
      <c r="C557">
        <v>209491</v>
      </c>
      <c r="D557" s="1">
        <v>0</v>
      </c>
    </row>
    <row r="558" spans="1:4" ht="14.4" customHeight="1" x14ac:dyDescent="0.3">
      <c r="A558" s="1">
        <v>556</v>
      </c>
      <c r="B558">
        <v>208596</v>
      </c>
      <c r="C558">
        <v>208624</v>
      </c>
      <c r="D558" s="1">
        <v>0</v>
      </c>
    </row>
    <row r="559" spans="1:4" ht="14.4" customHeight="1" x14ac:dyDescent="0.3">
      <c r="A559" s="1">
        <v>557</v>
      </c>
      <c r="B559">
        <v>208596</v>
      </c>
      <c r="C559">
        <v>207259</v>
      </c>
      <c r="D559" s="1">
        <v>0</v>
      </c>
    </row>
    <row r="560" spans="1:4" ht="14.4" customHeight="1" x14ac:dyDescent="0.3">
      <c r="A560" s="1">
        <v>558</v>
      </c>
      <c r="B560">
        <v>208596</v>
      </c>
      <c r="C560">
        <v>208777</v>
      </c>
      <c r="D560" s="1">
        <v>0</v>
      </c>
    </row>
    <row r="561" spans="1:4" ht="14.4" customHeight="1" x14ac:dyDescent="0.3">
      <c r="A561" s="1">
        <v>559</v>
      </c>
      <c r="B561">
        <v>207967</v>
      </c>
      <c r="C561">
        <v>222079</v>
      </c>
      <c r="D561" s="1">
        <v>1</v>
      </c>
    </row>
    <row r="562" spans="1:4" ht="14.4" customHeight="1" x14ac:dyDescent="0.3">
      <c r="A562" s="1">
        <v>560</v>
      </c>
      <c r="B562">
        <v>207967</v>
      </c>
      <c r="C562">
        <v>207633</v>
      </c>
      <c r="D562" s="1">
        <v>1</v>
      </c>
    </row>
    <row r="563" spans="1:4" ht="14.4" customHeight="1" x14ac:dyDescent="0.3">
      <c r="A563" s="1">
        <v>561</v>
      </c>
      <c r="B563">
        <v>207967</v>
      </c>
      <c r="C563">
        <v>206764</v>
      </c>
      <c r="D563" s="1">
        <v>0</v>
      </c>
    </row>
    <row r="564" spans="1:4" ht="14.4" customHeight="1" x14ac:dyDescent="0.3">
      <c r="A564" s="1">
        <v>562</v>
      </c>
      <c r="B564">
        <v>207967</v>
      </c>
      <c r="C564">
        <v>222054</v>
      </c>
      <c r="D564" s="1">
        <v>0</v>
      </c>
    </row>
    <row r="565" spans="1:4" ht="14.4" customHeight="1" x14ac:dyDescent="0.3">
      <c r="A565" s="1">
        <v>563</v>
      </c>
      <c r="B565">
        <v>207967</v>
      </c>
      <c r="C565">
        <v>209176</v>
      </c>
      <c r="D565" s="1">
        <v>0</v>
      </c>
    </row>
    <row r="566" spans="1:4" ht="14.4" customHeight="1" x14ac:dyDescent="0.3">
      <c r="A566" s="1">
        <v>564</v>
      </c>
      <c r="B566">
        <v>207967</v>
      </c>
      <c r="C566">
        <v>205075</v>
      </c>
      <c r="D566" s="1">
        <v>1</v>
      </c>
    </row>
    <row r="567" spans="1:4" ht="14.4" customHeight="1" x14ac:dyDescent="0.3">
      <c r="A567" s="1">
        <v>565</v>
      </c>
      <c r="B567">
        <v>207967</v>
      </c>
      <c r="C567">
        <v>206937</v>
      </c>
      <c r="D567" s="1">
        <v>0</v>
      </c>
    </row>
    <row r="568" spans="1:4" ht="14.4" customHeight="1" x14ac:dyDescent="0.3">
      <c r="A568" s="1">
        <v>566</v>
      </c>
      <c r="B568">
        <v>207967</v>
      </c>
      <c r="C568">
        <v>207758</v>
      </c>
      <c r="D568" s="1">
        <v>0</v>
      </c>
    </row>
    <row r="569" spans="1:4" ht="14.4" customHeight="1" x14ac:dyDescent="0.3">
      <c r="A569" s="1">
        <v>567</v>
      </c>
      <c r="B569">
        <v>207967</v>
      </c>
      <c r="C569">
        <v>208043</v>
      </c>
      <c r="D569" s="1">
        <v>0</v>
      </c>
    </row>
    <row r="570" spans="1:4" ht="14.4" customHeight="1" x14ac:dyDescent="0.3">
      <c r="A570" s="1">
        <v>568</v>
      </c>
      <c r="B570">
        <v>207967</v>
      </c>
      <c r="C570">
        <v>206905</v>
      </c>
      <c r="D570" s="1">
        <v>0</v>
      </c>
    </row>
    <row r="571" spans="1:4" ht="14.4" customHeight="1" x14ac:dyDescent="0.3">
      <c r="A571" s="1">
        <v>569</v>
      </c>
      <c r="B571">
        <v>207967</v>
      </c>
      <c r="C571">
        <v>222044</v>
      </c>
      <c r="D571" s="1">
        <v>0</v>
      </c>
    </row>
    <row r="572" spans="1:4" ht="14.4" customHeight="1" x14ac:dyDescent="0.3">
      <c r="A572" s="1">
        <v>570</v>
      </c>
      <c r="B572">
        <v>207967</v>
      </c>
      <c r="C572">
        <v>206770</v>
      </c>
      <c r="D572" s="1">
        <v>4</v>
      </c>
    </row>
    <row r="573" spans="1:4" ht="14.4" customHeight="1" x14ac:dyDescent="0.3">
      <c r="A573" s="1">
        <v>571</v>
      </c>
      <c r="B573">
        <v>207967</v>
      </c>
      <c r="C573">
        <v>206841</v>
      </c>
      <c r="D573" s="1">
        <v>0</v>
      </c>
    </row>
    <row r="574" spans="1:4" ht="14.4" customHeight="1" x14ac:dyDescent="0.3">
      <c r="A574" s="1">
        <v>572</v>
      </c>
      <c r="B574">
        <v>207967</v>
      </c>
      <c r="C574">
        <v>209266</v>
      </c>
      <c r="D574" s="1">
        <v>0</v>
      </c>
    </row>
    <row r="575" spans="1:4" ht="14.4" customHeight="1" x14ac:dyDescent="0.3">
      <c r="A575" s="1">
        <v>573</v>
      </c>
      <c r="B575">
        <v>207967</v>
      </c>
      <c r="C575">
        <v>232847</v>
      </c>
      <c r="D575" s="1">
        <v>0</v>
      </c>
    </row>
    <row r="576" spans="1:4" ht="14.4" customHeight="1" x14ac:dyDescent="0.3">
      <c r="A576" s="1">
        <v>574</v>
      </c>
      <c r="B576">
        <v>207967</v>
      </c>
      <c r="C576">
        <v>209136</v>
      </c>
      <c r="D576" s="1">
        <v>0</v>
      </c>
    </row>
    <row r="577" spans="1:4" ht="14.4" customHeight="1" x14ac:dyDescent="0.3">
      <c r="A577" s="1">
        <v>575</v>
      </c>
      <c r="B577">
        <v>207967</v>
      </c>
      <c r="C577">
        <v>207077</v>
      </c>
      <c r="D577" s="1">
        <v>0</v>
      </c>
    </row>
    <row r="578" spans="1:4" ht="14.4" customHeight="1" x14ac:dyDescent="0.3">
      <c r="A578" s="1">
        <v>576</v>
      </c>
      <c r="B578">
        <v>207967</v>
      </c>
      <c r="C578">
        <v>206148</v>
      </c>
      <c r="D578" s="1">
        <v>0</v>
      </c>
    </row>
    <row r="579" spans="1:4" ht="14.4" customHeight="1" x14ac:dyDescent="0.3">
      <c r="A579" s="1">
        <v>577</v>
      </c>
      <c r="B579">
        <v>207967</v>
      </c>
      <c r="C579">
        <v>208776</v>
      </c>
      <c r="D579" s="1">
        <v>0</v>
      </c>
    </row>
    <row r="580" spans="1:4" ht="14.4" customHeight="1" x14ac:dyDescent="0.3">
      <c r="A580" s="1">
        <v>578</v>
      </c>
      <c r="B580">
        <v>207967</v>
      </c>
      <c r="C580">
        <v>205551</v>
      </c>
      <c r="D580" s="1">
        <v>0</v>
      </c>
    </row>
    <row r="581" spans="1:4" ht="14.4" customHeight="1" x14ac:dyDescent="0.3">
      <c r="A581" s="1">
        <v>579</v>
      </c>
      <c r="B581">
        <v>207967</v>
      </c>
      <c r="C581">
        <v>208485</v>
      </c>
      <c r="D581" s="1">
        <v>0</v>
      </c>
    </row>
    <row r="582" spans="1:4" ht="14.4" customHeight="1" x14ac:dyDescent="0.3">
      <c r="A582" s="1">
        <v>580</v>
      </c>
      <c r="B582">
        <v>207967</v>
      </c>
      <c r="C582">
        <v>206280</v>
      </c>
      <c r="D582" s="1">
        <v>0</v>
      </c>
    </row>
    <row r="583" spans="1:4" ht="14.4" customHeight="1" x14ac:dyDescent="0.3">
      <c r="A583" s="1">
        <v>581</v>
      </c>
      <c r="B583">
        <v>207967</v>
      </c>
      <c r="C583">
        <v>205750</v>
      </c>
      <c r="D583" s="1">
        <v>0</v>
      </c>
    </row>
    <row r="584" spans="1:4" ht="14.4" customHeight="1" x14ac:dyDescent="0.3">
      <c r="A584" s="1">
        <v>582</v>
      </c>
      <c r="B584">
        <v>207967</v>
      </c>
      <c r="C584">
        <v>208622</v>
      </c>
      <c r="D584" s="1">
        <v>0</v>
      </c>
    </row>
    <row r="585" spans="1:4" ht="14.4" customHeight="1" x14ac:dyDescent="0.3">
      <c r="A585" s="1">
        <v>583</v>
      </c>
      <c r="B585">
        <v>207967</v>
      </c>
      <c r="C585">
        <v>208657</v>
      </c>
      <c r="D585" s="1">
        <v>0</v>
      </c>
    </row>
    <row r="586" spans="1:4" ht="14.4" customHeight="1" x14ac:dyDescent="0.3">
      <c r="A586" s="1">
        <v>584</v>
      </c>
      <c r="B586">
        <v>207967</v>
      </c>
      <c r="C586">
        <v>209385</v>
      </c>
      <c r="D586" s="1">
        <v>0</v>
      </c>
    </row>
    <row r="587" spans="1:4" ht="14.4" customHeight="1" x14ac:dyDescent="0.3">
      <c r="A587" s="1">
        <v>585</v>
      </c>
      <c r="B587">
        <v>207967</v>
      </c>
      <c r="C587">
        <v>205505</v>
      </c>
      <c r="D587" s="1">
        <v>0</v>
      </c>
    </row>
    <row r="588" spans="1:4" ht="14.4" customHeight="1" x14ac:dyDescent="0.3">
      <c r="A588" s="1">
        <v>586</v>
      </c>
      <c r="B588">
        <v>207967</v>
      </c>
      <c r="C588">
        <v>207238</v>
      </c>
      <c r="D588" s="1">
        <v>0</v>
      </c>
    </row>
    <row r="589" spans="1:4" ht="14.4" customHeight="1" x14ac:dyDescent="0.3">
      <c r="A589" s="1">
        <v>587</v>
      </c>
      <c r="B589">
        <v>207967</v>
      </c>
      <c r="C589">
        <v>207561</v>
      </c>
      <c r="D589" s="1">
        <v>0</v>
      </c>
    </row>
    <row r="590" spans="1:4" ht="14.4" customHeight="1" x14ac:dyDescent="0.3">
      <c r="A590" s="1">
        <v>588</v>
      </c>
      <c r="B590">
        <v>207967</v>
      </c>
      <c r="C590">
        <v>206872</v>
      </c>
      <c r="D590" s="1">
        <v>0</v>
      </c>
    </row>
    <row r="591" spans="1:4" ht="14.4" customHeight="1" x14ac:dyDescent="0.3">
      <c r="A591" s="1">
        <v>589</v>
      </c>
      <c r="B591">
        <v>207967</v>
      </c>
      <c r="C591">
        <v>208511</v>
      </c>
      <c r="D591" s="1">
        <v>0</v>
      </c>
    </row>
    <row r="592" spans="1:4" ht="14.4" customHeight="1" x14ac:dyDescent="0.3">
      <c r="A592" s="1">
        <v>590</v>
      </c>
      <c r="B592">
        <v>207967</v>
      </c>
      <c r="C592">
        <v>222031</v>
      </c>
      <c r="D592" s="1">
        <v>0</v>
      </c>
    </row>
    <row r="593" spans="1:4" ht="14.4" customHeight="1" x14ac:dyDescent="0.3">
      <c r="A593" s="1">
        <v>591</v>
      </c>
      <c r="B593">
        <v>207967</v>
      </c>
      <c r="C593">
        <v>209491</v>
      </c>
      <c r="D593" s="1">
        <v>0</v>
      </c>
    </row>
    <row r="594" spans="1:4" ht="14.4" customHeight="1" x14ac:dyDescent="0.3">
      <c r="A594" s="1">
        <v>592</v>
      </c>
      <c r="B594">
        <v>207967</v>
      </c>
      <c r="C594">
        <v>208624</v>
      </c>
      <c r="D594" s="1">
        <v>1</v>
      </c>
    </row>
    <row r="595" spans="1:4" ht="14.4" customHeight="1" x14ac:dyDescent="0.3">
      <c r="A595" s="1">
        <v>593</v>
      </c>
      <c r="B595">
        <v>207967</v>
      </c>
      <c r="C595">
        <v>207259</v>
      </c>
      <c r="D595" s="1">
        <v>0</v>
      </c>
    </row>
    <row r="596" spans="1:4" ht="14.4" customHeight="1" x14ac:dyDescent="0.3">
      <c r="A596" s="1">
        <v>594</v>
      </c>
      <c r="B596">
        <v>207967</v>
      </c>
      <c r="C596">
        <v>208777</v>
      </c>
      <c r="D596" s="1">
        <v>0</v>
      </c>
    </row>
    <row r="597" spans="1:4" ht="14.4" customHeight="1" x14ac:dyDescent="0.3">
      <c r="A597" s="1">
        <v>595</v>
      </c>
      <c r="B597">
        <v>222079</v>
      </c>
      <c r="C597">
        <v>207633</v>
      </c>
      <c r="D597" s="1">
        <v>0</v>
      </c>
    </row>
    <row r="598" spans="1:4" ht="14.4" customHeight="1" x14ac:dyDescent="0.3">
      <c r="A598" s="1">
        <v>596</v>
      </c>
      <c r="B598">
        <v>222079</v>
      </c>
      <c r="C598">
        <v>206764</v>
      </c>
      <c r="D598" s="1">
        <v>0</v>
      </c>
    </row>
    <row r="599" spans="1:4" ht="14.4" customHeight="1" x14ac:dyDescent="0.3">
      <c r="A599" s="1">
        <v>597</v>
      </c>
      <c r="B599">
        <v>222079</v>
      </c>
      <c r="C599">
        <v>222054</v>
      </c>
      <c r="D599" s="1">
        <v>0</v>
      </c>
    </row>
    <row r="600" spans="1:4" ht="14.4" customHeight="1" x14ac:dyDescent="0.3">
      <c r="A600" s="1">
        <v>598</v>
      </c>
      <c r="B600">
        <v>222079</v>
      </c>
      <c r="C600">
        <v>209176</v>
      </c>
      <c r="D600" s="1">
        <v>3</v>
      </c>
    </row>
    <row r="601" spans="1:4" ht="14.4" customHeight="1" x14ac:dyDescent="0.3">
      <c r="A601" s="1">
        <v>599</v>
      </c>
      <c r="B601">
        <v>222079</v>
      </c>
      <c r="C601">
        <v>205075</v>
      </c>
      <c r="D601" s="1">
        <v>0</v>
      </c>
    </row>
    <row r="602" spans="1:4" ht="14.4" customHeight="1" x14ac:dyDescent="0.3">
      <c r="A602" s="1">
        <v>600</v>
      </c>
      <c r="B602">
        <v>222079</v>
      </c>
      <c r="C602">
        <v>206937</v>
      </c>
      <c r="D602" s="1">
        <v>5</v>
      </c>
    </row>
    <row r="603" spans="1:4" ht="14.4" customHeight="1" x14ac:dyDescent="0.3">
      <c r="A603" s="1">
        <v>601</v>
      </c>
      <c r="B603">
        <v>222079</v>
      </c>
      <c r="C603">
        <v>207758</v>
      </c>
      <c r="D603" s="1">
        <v>0</v>
      </c>
    </row>
    <row r="604" spans="1:4" ht="14.4" customHeight="1" x14ac:dyDescent="0.3">
      <c r="A604" s="1">
        <v>602</v>
      </c>
      <c r="B604">
        <v>222079</v>
      </c>
      <c r="C604">
        <v>208043</v>
      </c>
      <c r="D604" s="1">
        <v>0</v>
      </c>
    </row>
    <row r="605" spans="1:4" ht="14.4" customHeight="1" x14ac:dyDescent="0.3">
      <c r="A605" s="1">
        <v>603</v>
      </c>
      <c r="B605">
        <v>222079</v>
      </c>
      <c r="C605">
        <v>206905</v>
      </c>
      <c r="D605" s="1">
        <v>0</v>
      </c>
    </row>
    <row r="606" spans="1:4" ht="14.4" customHeight="1" x14ac:dyDescent="0.3">
      <c r="A606" s="1">
        <v>604</v>
      </c>
      <c r="B606">
        <v>222079</v>
      </c>
      <c r="C606">
        <v>222044</v>
      </c>
      <c r="D606" s="1">
        <v>0</v>
      </c>
    </row>
    <row r="607" spans="1:4" ht="14.4" customHeight="1" x14ac:dyDescent="0.3">
      <c r="A607" s="1">
        <v>605</v>
      </c>
      <c r="B607">
        <v>222079</v>
      </c>
      <c r="C607">
        <v>206770</v>
      </c>
      <c r="D607" s="1">
        <v>0</v>
      </c>
    </row>
    <row r="608" spans="1:4" ht="14.4" customHeight="1" x14ac:dyDescent="0.3">
      <c r="A608" s="1">
        <v>606</v>
      </c>
      <c r="B608">
        <v>222079</v>
      </c>
      <c r="C608">
        <v>206841</v>
      </c>
      <c r="D608" s="1">
        <v>0</v>
      </c>
    </row>
    <row r="609" spans="1:4" ht="14.4" customHeight="1" x14ac:dyDescent="0.3">
      <c r="A609" s="1">
        <v>607</v>
      </c>
      <c r="B609">
        <v>222079</v>
      </c>
      <c r="C609">
        <v>209266</v>
      </c>
      <c r="D609" s="1">
        <v>0</v>
      </c>
    </row>
    <row r="610" spans="1:4" ht="14.4" customHeight="1" x14ac:dyDescent="0.3">
      <c r="A610" s="1">
        <v>608</v>
      </c>
      <c r="B610">
        <v>222079</v>
      </c>
      <c r="C610">
        <v>232847</v>
      </c>
      <c r="D610" s="1">
        <v>0</v>
      </c>
    </row>
    <row r="611" spans="1:4" ht="14.4" customHeight="1" x14ac:dyDescent="0.3">
      <c r="A611" s="1">
        <v>609</v>
      </c>
      <c r="B611">
        <v>222079</v>
      </c>
      <c r="C611">
        <v>209136</v>
      </c>
      <c r="D611" s="1">
        <v>0</v>
      </c>
    </row>
    <row r="612" spans="1:4" ht="14.4" customHeight="1" x14ac:dyDescent="0.3">
      <c r="A612" s="1">
        <v>610</v>
      </c>
      <c r="B612">
        <v>222079</v>
      </c>
      <c r="C612">
        <v>207077</v>
      </c>
      <c r="D612" s="1">
        <v>0</v>
      </c>
    </row>
    <row r="613" spans="1:4" ht="14.4" customHeight="1" x14ac:dyDescent="0.3">
      <c r="A613" s="1">
        <v>611</v>
      </c>
      <c r="B613">
        <v>222079</v>
      </c>
      <c r="C613">
        <v>206148</v>
      </c>
      <c r="D613" s="1">
        <v>0</v>
      </c>
    </row>
    <row r="614" spans="1:4" ht="14.4" customHeight="1" x14ac:dyDescent="0.3">
      <c r="A614" s="1">
        <v>612</v>
      </c>
      <c r="B614">
        <v>222079</v>
      </c>
      <c r="C614">
        <v>208776</v>
      </c>
      <c r="D614" s="1">
        <v>3</v>
      </c>
    </row>
    <row r="615" spans="1:4" ht="14.4" customHeight="1" x14ac:dyDescent="0.3">
      <c r="A615" s="1">
        <v>613</v>
      </c>
      <c r="B615">
        <v>222079</v>
      </c>
      <c r="C615">
        <v>205551</v>
      </c>
      <c r="D615" s="1">
        <v>0</v>
      </c>
    </row>
    <row r="616" spans="1:4" ht="14.4" customHeight="1" x14ac:dyDescent="0.3">
      <c r="A616" s="1">
        <v>614</v>
      </c>
      <c r="B616">
        <v>222079</v>
      </c>
      <c r="C616">
        <v>208485</v>
      </c>
      <c r="D616" s="1">
        <v>0</v>
      </c>
    </row>
    <row r="617" spans="1:4" ht="14.4" customHeight="1" x14ac:dyDescent="0.3">
      <c r="A617" s="1">
        <v>615</v>
      </c>
      <c r="B617">
        <v>222079</v>
      </c>
      <c r="C617">
        <v>206280</v>
      </c>
      <c r="D617" s="1">
        <v>0</v>
      </c>
    </row>
    <row r="618" spans="1:4" ht="14.4" customHeight="1" x14ac:dyDescent="0.3">
      <c r="A618" s="1">
        <v>616</v>
      </c>
      <c r="B618">
        <v>222079</v>
      </c>
      <c r="C618">
        <v>205750</v>
      </c>
      <c r="D618" s="1">
        <v>0</v>
      </c>
    </row>
    <row r="619" spans="1:4" ht="14.4" customHeight="1" x14ac:dyDescent="0.3">
      <c r="A619" s="1">
        <v>617</v>
      </c>
      <c r="B619">
        <v>222079</v>
      </c>
      <c r="C619">
        <v>208622</v>
      </c>
      <c r="D619" s="1">
        <v>0</v>
      </c>
    </row>
    <row r="620" spans="1:4" ht="14.4" customHeight="1" x14ac:dyDescent="0.3">
      <c r="A620" s="1">
        <v>618</v>
      </c>
      <c r="B620">
        <v>222079</v>
      </c>
      <c r="C620">
        <v>208657</v>
      </c>
      <c r="D620" s="1">
        <v>0</v>
      </c>
    </row>
    <row r="621" spans="1:4" ht="14.4" customHeight="1" x14ac:dyDescent="0.3">
      <c r="A621" s="1">
        <v>619</v>
      </c>
      <c r="B621">
        <v>222079</v>
      </c>
      <c r="C621">
        <v>209385</v>
      </c>
      <c r="D621" s="1">
        <v>0</v>
      </c>
    </row>
    <row r="622" spans="1:4" ht="14.4" customHeight="1" x14ac:dyDescent="0.3">
      <c r="A622" s="1">
        <v>620</v>
      </c>
      <c r="B622">
        <v>222079</v>
      </c>
      <c r="C622">
        <v>205505</v>
      </c>
      <c r="D622" s="1">
        <v>0</v>
      </c>
    </row>
    <row r="623" spans="1:4" ht="14.4" customHeight="1" x14ac:dyDescent="0.3">
      <c r="A623" s="1">
        <v>621</v>
      </c>
      <c r="B623">
        <v>222079</v>
      </c>
      <c r="C623">
        <v>207238</v>
      </c>
      <c r="D623" s="1">
        <v>0</v>
      </c>
    </row>
    <row r="624" spans="1:4" ht="14.4" customHeight="1" x14ac:dyDescent="0.3">
      <c r="A624" s="1">
        <v>622</v>
      </c>
      <c r="B624">
        <v>222079</v>
      </c>
      <c r="C624">
        <v>207561</v>
      </c>
      <c r="D624" s="1">
        <v>0</v>
      </c>
    </row>
    <row r="625" spans="1:4" ht="14.4" customHeight="1" x14ac:dyDescent="0.3">
      <c r="A625" s="1">
        <v>623</v>
      </c>
      <c r="B625">
        <v>222079</v>
      </c>
      <c r="C625">
        <v>206872</v>
      </c>
      <c r="D625" s="1">
        <v>0</v>
      </c>
    </row>
    <row r="626" spans="1:4" ht="14.4" customHeight="1" x14ac:dyDescent="0.3">
      <c r="A626" s="1">
        <v>624</v>
      </c>
      <c r="B626">
        <v>222079</v>
      </c>
      <c r="C626">
        <v>208511</v>
      </c>
      <c r="D626" s="1">
        <v>0</v>
      </c>
    </row>
    <row r="627" spans="1:4" ht="14.4" customHeight="1" x14ac:dyDescent="0.3">
      <c r="A627" s="1">
        <v>625</v>
      </c>
      <c r="B627">
        <v>222079</v>
      </c>
      <c r="C627">
        <v>222031</v>
      </c>
      <c r="D627" s="1">
        <v>0</v>
      </c>
    </row>
    <row r="628" spans="1:4" ht="14.4" customHeight="1" x14ac:dyDescent="0.3">
      <c r="A628" s="1">
        <v>626</v>
      </c>
      <c r="B628">
        <v>222079</v>
      </c>
      <c r="C628">
        <v>209491</v>
      </c>
      <c r="D628" s="1">
        <v>0</v>
      </c>
    </row>
    <row r="629" spans="1:4" ht="14.4" customHeight="1" x14ac:dyDescent="0.3">
      <c r="A629" s="1">
        <v>627</v>
      </c>
      <c r="B629">
        <v>222079</v>
      </c>
      <c r="C629">
        <v>208624</v>
      </c>
      <c r="D629" s="1">
        <v>0</v>
      </c>
    </row>
    <row r="630" spans="1:4" ht="14.4" customHeight="1" x14ac:dyDescent="0.3">
      <c r="A630" s="1">
        <v>628</v>
      </c>
      <c r="B630">
        <v>222079</v>
      </c>
      <c r="C630">
        <v>207259</v>
      </c>
      <c r="D630" s="1">
        <v>0</v>
      </c>
    </row>
    <row r="631" spans="1:4" ht="14.4" customHeight="1" x14ac:dyDescent="0.3">
      <c r="A631" s="1">
        <v>629</v>
      </c>
      <c r="B631">
        <v>222079</v>
      </c>
      <c r="C631">
        <v>208777</v>
      </c>
      <c r="D631" s="1">
        <v>0</v>
      </c>
    </row>
    <row r="632" spans="1:4" ht="14.4" customHeight="1" x14ac:dyDescent="0.3">
      <c r="A632" s="1">
        <v>630</v>
      </c>
      <c r="B632">
        <v>207633</v>
      </c>
      <c r="C632">
        <v>206764</v>
      </c>
      <c r="D632" s="1">
        <v>0</v>
      </c>
    </row>
    <row r="633" spans="1:4" ht="14.4" customHeight="1" x14ac:dyDescent="0.3">
      <c r="A633" s="1">
        <v>631</v>
      </c>
      <c r="B633">
        <v>207633</v>
      </c>
      <c r="C633">
        <v>222054</v>
      </c>
      <c r="D633" s="1">
        <v>0</v>
      </c>
    </row>
    <row r="634" spans="1:4" ht="14.4" customHeight="1" x14ac:dyDescent="0.3">
      <c r="A634" s="1">
        <v>632</v>
      </c>
      <c r="B634">
        <v>207633</v>
      </c>
      <c r="C634">
        <v>209176</v>
      </c>
      <c r="D634" s="1">
        <v>0</v>
      </c>
    </row>
    <row r="635" spans="1:4" ht="14.4" customHeight="1" x14ac:dyDescent="0.3">
      <c r="A635" s="1">
        <v>633</v>
      </c>
      <c r="B635">
        <v>207633</v>
      </c>
      <c r="C635">
        <v>205075</v>
      </c>
      <c r="D635" s="1">
        <v>0</v>
      </c>
    </row>
    <row r="636" spans="1:4" ht="14.4" customHeight="1" x14ac:dyDescent="0.3">
      <c r="A636" s="1">
        <v>634</v>
      </c>
      <c r="B636">
        <v>207633</v>
      </c>
      <c r="C636">
        <v>206937</v>
      </c>
      <c r="D636" s="1">
        <v>0</v>
      </c>
    </row>
    <row r="637" spans="1:4" ht="14.4" customHeight="1" x14ac:dyDescent="0.3">
      <c r="A637" s="1">
        <v>635</v>
      </c>
      <c r="B637">
        <v>207633</v>
      </c>
      <c r="C637">
        <v>207758</v>
      </c>
      <c r="D637" s="1">
        <v>0</v>
      </c>
    </row>
    <row r="638" spans="1:4" ht="14.4" customHeight="1" x14ac:dyDescent="0.3">
      <c r="A638" s="1">
        <v>636</v>
      </c>
      <c r="B638">
        <v>207633</v>
      </c>
      <c r="C638">
        <v>208043</v>
      </c>
      <c r="D638" s="1">
        <v>0</v>
      </c>
    </row>
    <row r="639" spans="1:4" ht="14.4" customHeight="1" x14ac:dyDescent="0.3">
      <c r="A639" s="1">
        <v>637</v>
      </c>
      <c r="B639">
        <v>207633</v>
      </c>
      <c r="C639">
        <v>206905</v>
      </c>
      <c r="D639" s="1">
        <v>0</v>
      </c>
    </row>
    <row r="640" spans="1:4" ht="14.4" customHeight="1" x14ac:dyDescent="0.3">
      <c r="A640" s="1">
        <v>638</v>
      </c>
      <c r="B640">
        <v>207633</v>
      </c>
      <c r="C640">
        <v>222044</v>
      </c>
      <c r="D640" s="1">
        <v>0</v>
      </c>
    </row>
    <row r="641" spans="1:4" ht="14.4" customHeight="1" x14ac:dyDescent="0.3">
      <c r="A641" s="1">
        <v>639</v>
      </c>
      <c r="B641">
        <v>207633</v>
      </c>
      <c r="C641">
        <v>206770</v>
      </c>
      <c r="D641" s="1">
        <v>0</v>
      </c>
    </row>
    <row r="642" spans="1:4" ht="14.4" customHeight="1" x14ac:dyDescent="0.3">
      <c r="A642" s="1">
        <v>640</v>
      </c>
      <c r="B642">
        <v>207633</v>
      </c>
      <c r="C642">
        <v>206841</v>
      </c>
      <c r="D642" s="1">
        <v>0</v>
      </c>
    </row>
    <row r="643" spans="1:4" ht="14.4" customHeight="1" x14ac:dyDescent="0.3">
      <c r="A643" s="1">
        <v>641</v>
      </c>
      <c r="B643">
        <v>207633</v>
      </c>
      <c r="C643">
        <v>209266</v>
      </c>
      <c r="D643" s="1">
        <v>0</v>
      </c>
    </row>
    <row r="644" spans="1:4" ht="14.4" customHeight="1" x14ac:dyDescent="0.3">
      <c r="A644" s="1">
        <v>642</v>
      </c>
      <c r="B644">
        <v>207633</v>
      </c>
      <c r="C644">
        <v>232847</v>
      </c>
      <c r="D644" s="1">
        <v>0</v>
      </c>
    </row>
    <row r="645" spans="1:4" ht="14.4" customHeight="1" x14ac:dyDescent="0.3">
      <c r="A645" s="1">
        <v>643</v>
      </c>
      <c r="B645">
        <v>207633</v>
      </c>
      <c r="C645">
        <v>209136</v>
      </c>
      <c r="D645" s="1">
        <v>0</v>
      </c>
    </row>
    <row r="646" spans="1:4" ht="14.4" customHeight="1" x14ac:dyDescent="0.3">
      <c r="A646" s="1">
        <v>644</v>
      </c>
      <c r="B646">
        <v>207633</v>
      </c>
      <c r="C646">
        <v>207077</v>
      </c>
      <c r="D646" s="1">
        <v>0</v>
      </c>
    </row>
    <row r="647" spans="1:4" ht="14.4" customHeight="1" x14ac:dyDescent="0.3">
      <c r="A647" s="1">
        <v>645</v>
      </c>
      <c r="B647">
        <v>207633</v>
      </c>
      <c r="C647">
        <v>206148</v>
      </c>
      <c r="D647" s="1">
        <v>0</v>
      </c>
    </row>
    <row r="648" spans="1:4" ht="14.4" customHeight="1" x14ac:dyDescent="0.3">
      <c r="A648" s="1">
        <v>646</v>
      </c>
      <c r="B648">
        <v>207633</v>
      </c>
      <c r="C648">
        <v>208776</v>
      </c>
      <c r="D648" s="1">
        <v>0</v>
      </c>
    </row>
    <row r="649" spans="1:4" ht="14.4" customHeight="1" x14ac:dyDescent="0.3">
      <c r="A649" s="1">
        <v>647</v>
      </c>
      <c r="B649">
        <v>207633</v>
      </c>
      <c r="C649">
        <v>205551</v>
      </c>
      <c r="D649" s="1">
        <v>0</v>
      </c>
    </row>
    <row r="650" spans="1:4" ht="14.4" customHeight="1" x14ac:dyDescent="0.3">
      <c r="A650" s="1">
        <v>648</v>
      </c>
      <c r="B650">
        <v>207633</v>
      </c>
      <c r="C650">
        <v>208485</v>
      </c>
      <c r="D650" s="1">
        <v>0</v>
      </c>
    </row>
    <row r="651" spans="1:4" ht="14.4" customHeight="1" x14ac:dyDescent="0.3">
      <c r="A651" s="1">
        <v>649</v>
      </c>
      <c r="B651">
        <v>207633</v>
      </c>
      <c r="C651">
        <v>206280</v>
      </c>
      <c r="D651" s="1">
        <v>0</v>
      </c>
    </row>
    <row r="652" spans="1:4" ht="14.4" customHeight="1" x14ac:dyDescent="0.3">
      <c r="A652" s="1">
        <v>650</v>
      </c>
      <c r="B652">
        <v>207633</v>
      </c>
      <c r="C652">
        <v>205750</v>
      </c>
      <c r="D652" s="1">
        <v>0</v>
      </c>
    </row>
    <row r="653" spans="1:4" ht="14.4" customHeight="1" x14ac:dyDescent="0.3">
      <c r="A653" s="1">
        <v>651</v>
      </c>
      <c r="B653">
        <v>207633</v>
      </c>
      <c r="C653">
        <v>208622</v>
      </c>
      <c r="D653" s="1">
        <v>0</v>
      </c>
    </row>
    <row r="654" spans="1:4" ht="14.4" customHeight="1" x14ac:dyDescent="0.3">
      <c r="A654" s="1">
        <v>652</v>
      </c>
      <c r="B654">
        <v>207633</v>
      </c>
      <c r="C654">
        <v>208657</v>
      </c>
      <c r="D654" s="1">
        <v>0</v>
      </c>
    </row>
    <row r="655" spans="1:4" ht="14.4" customHeight="1" x14ac:dyDescent="0.3">
      <c r="A655" s="1">
        <v>653</v>
      </c>
      <c r="B655">
        <v>207633</v>
      </c>
      <c r="C655">
        <v>209385</v>
      </c>
      <c r="D655" s="1">
        <v>0</v>
      </c>
    </row>
    <row r="656" spans="1:4" ht="14.4" customHeight="1" x14ac:dyDescent="0.3">
      <c r="A656" s="1">
        <v>654</v>
      </c>
      <c r="B656">
        <v>207633</v>
      </c>
      <c r="C656">
        <v>205505</v>
      </c>
      <c r="D656" s="1">
        <v>0</v>
      </c>
    </row>
    <row r="657" spans="1:4" ht="14.4" customHeight="1" x14ac:dyDescent="0.3">
      <c r="A657" s="1">
        <v>655</v>
      </c>
      <c r="B657">
        <v>207633</v>
      </c>
      <c r="C657">
        <v>207238</v>
      </c>
      <c r="D657" s="1">
        <v>0</v>
      </c>
    </row>
    <row r="658" spans="1:4" ht="14.4" customHeight="1" x14ac:dyDescent="0.3">
      <c r="A658" s="1">
        <v>656</v>
      </c>
      <c r="B658">
        <v>207633</v>
      </c>
      <c r="C658">
        <v>207561</v>
      </c>
      <c r="D658" s="1">
        <v>0</v>
      </c>
    </row>
    <row r="659" spans="1:4" ht="14.4" customHeight="1" x14ac:dyDescent="0.3">
      <c r="A659" s="1">
        <v>657</v>
      </c>
      <c r="B659">
        <v>207633</v>
      </c>
      <c r="C659">
        <v>206872</v>
      </c>
      <c r="D659" s="1">
        <v>0</v>
      </c>
    </row>
    <row r="660" spans="1:4" ht="14.4" customHeight="1" x14ac:dyDescent="0.3">
      <c r="A660" s="1">
        <v>658</v>
      </c>
      <c r="B660">
        <v>207633</v>
      </c>
      <c r="C660">
        <v>208511</v>
      </c>
      <c r="D660" s="1">
        <v>0</v>
      </c>
    </row>
    <row r="661" spans="1:4" ht="14.4" customHeight="1" x14ac:dyDescent="0.3">
      <c r="A661" s="1">
        <v>659</v>
      </c>
      <c r="B661">
        <v>207633</v>
      </c>
      <c r="C661">
        <v>222031</v>
      </c>
      <c r="D661" s="1">
        <v>0</v>
      </c>
    </row>
    <row r="662" spans="1:4" ht="14.4" customHeight="1" x14ac:dyDescent="0.3">
      <c r="A662" s="1">
        <v>660</v>
      </c>
      <c r="B662">
        <v>207633</v>
      </c>
      <c r="C662">
        <v>209491</v>
      </c>
      <c r="D662" s="1">
        <v>0</v>
      </c>
    </row>
    <row r="663" spans="1:4" ht="14.4" customHeight="1" x14ac:dyDescent="0.3">
      <c r="A663" s="1">
        <v>661</v>
      </c>
      <c r="B663">
        <v>207633</v>
      </c>
      <c r="C663">
        <v>208624</v>
      </c>
      <c r="D663" s="1">
        <v>0</v>
      </c>
    </row>
    <row r="664" spans="1:4" ht="14.4" customHeight="1" x14ac:dyDescent="0.3">
      <c r="A664" s="1">
        <v>662</v>
      </c>
      <c r="B664">
        <v>207633</v>
      </c>
      <c r="C664">
        <v>207259</v>
      </c>
      <c r="D664" s="1">
        <v>0</v>
      </c>
    </row>
    <row r="665" spans="1:4" ht="14.4" customHeight="1" x14ac:dyDescent="0.3">
      <c r="A665" s="1">
        <v>663</v>
      </c>
      <c r="B665">
        <v>207633</v>
      </c>
      <c r="C665">
        <v>208777</v>
      </c>
      <c r="D665" s="1">
        <v>0</v>
      </c>
    </row>
    <row r="666" spans="1:4" ht="14.4" customHeight="1" x14ac:dyDescent="0.3">
      <c r="A666" s="1">
        <v>664</v>
      </c>
      <c r="B666">
        <v>206764</v>
      </c>
      <c r="C666">
        <v>222054</v>
      </c>
      <c r="D666" s="1">
        <v>0</v>
      </c>
    </row>
    <row r="667" spans="1:4" ht="14.4" customHeight="1" x14ac:dyDescent="0.3">
      <c r="A667" s="1">
        <v>665</v>
      </c>
      <c r="B667">
        <v>206764</v>
      </c>
      <c r="C667">
        <v>209176</v>
      </c>
      <c r="D667" s="1">
        <v>0</v>
      </c>
    </row>
    <row r="668" spans="1:4" ht="14.4" customHeight="1" x14ac:dyDescent="0.3">
      <c r="A668" s="1">
        <v>666</v>
      </c>
      <c r="B668">
        <v>206764</v>
      </c>
      <c r="C668">
        <v>205075</v>
      </c>
      <c r="D668" s="1">
        <v>0</v>
      </c>
    </row>
    <row r="669" spans="1:4" ht="14.4" customHeight="1" x14ac:dyDescent="0.3">
      <c r="A669" s="1">
        <v>667</v>
      </c>
      <c r="B669">
        <v>206764</v>
      </c>
      <c r="C669">
        <v>206937</v>
      </c>
      <c r="D669" s="1">
        <v>0</v>
      </c>
    </row>
    <row r="670" spans="1:4" ht="14.4" customHeight="1" x14ac:dyDescent="0.3">
      <c r="A670" s="1">
        <v>668</v>
      </c>
      <c r="B670">
        <v>206764</v>
      </c>
      <c r="C670">
        <v>207758</v>
      </c>
      <c r="D670" s="1">
        <v>0</v>
      </c>
    </row>
    <row r="671" spans="1:4" ht="14.4" customHeight="1" x14ac:dyDescent="0.3">
      <c r="A671" s="1">
        <v>669</v>
      </c>
      <c r="B671">
        <v>206764</v>
      </c>
      <c r="C671">
        <v>208043</v>
      </c>
      <c r="D671" s="1">
        <v>0</v>
      </c>
    </row>
    <row r="672" spans="1:4" ht="14.4" customHeight="1" x14ac:dyDescent="0.3">
      <c r="A672" s="1">
        <v>670</v>
      </c>
      <c r="B672">
        <v>206764</v>
      </c>
      <c r="C672">
        <v>206905</v>
      </c>
      <c r="D672" s="1">
        <v>1</v>
      </c>
    </row>
    <row r="673" spans="1:4" ht="14.4" customHeight="1" x14ac:dyDescent="0.3">
      <c r="A673" s="1">
        <v>671</v>
      </c>
      <c r="B673">
        <v>206764</v>
      </c>
      <c r="C673">
        <v>222044</v>
      </c>
      <c r="D673" s="1">
        <v>0</v>
      </c>
    </row>
    <row r="674" spans="1:4" ht="14.4" customHeight="1" x14ac:dyDescent="0.3">
      <c r="A674" s="1">
        <v>672</v>
      </c>
      <c r="B674">
        <v>206764</v>
      </c>
      <c r="C674">
        <v>206770</v>
      </c>
      <c r="D674" s="1">
        <v>3</v>
      </c>
    </row>
    <row r="675" spans="1:4" ht="14.4" customHeight="1" x14ac:dyDescent="0.3">
      <c r="A675" s="1">
        <v>673</v>
      </c>
      <c r="B675">
        <v>206764</v>
      </c>
      <c r="C675">
        <v>206841</v>
      </c>
      <c r="D675" s="1">
        <v>0</v>
      </c>
    </row>
    <row r="676" spans="1:4" ht="14.4" customHeight="1" x14ac:dyDescent="0.3">
      <c r="A676" s="1">
        <v>674</v>
      </c>
      <c r="B676">
        <v>206764</v>
      </c>
      <c r="C676">
        <v>209266</v>
      </c>
      <c r="D676" s="1">
        <v>0</v>
      </c>
    </row>
    <row r="677" spans="1:4" ht="14.4" customHeight="1" x14ac:dyDescent="0.3">
      <c r="A677" s="1">
        <v>675</v>
      </c>
      <c r="B677">
        <v>206764</v>
      </c>
      <c r="C677">
        <v>232847</v>
      </c>
      <c r="D677" s="1">
        <v>0</v>
      </c>
    </row>
    <row r="678" spans="1:4" ht="14.4" customHeight="1" x14ac:dyDescent="0.3">
      <c r="A678" s="1">
        <v>676</v>
      </c>
      <c r="B678">
        <v>206764</v>
      </c>
      <c r="C678">
        <v>209136</v>
      </c>
      <c r="D678" s="1">
        <v>5</v>
      </c>
    </row>
    <row r="679" spans="1:4" ht="14.4" customHeight="1" x14ac:dyDescent="0.3">
      <c r="A679" s="1">
        <v>677</v>
      </c>
      <c r="B679">
        <v>206764</v>
      </c>
      <c r="C679">
        <v>207077</v>
      </c>
      <c r="D679" s="1">
        <v>0</v>
      </c>
    </row>
    <row r="680" spans="1:4" ht="14.4" customHeight="1" x14ac:dyDescent="0.3">
      <c r="A680" s="1">
        <v>678</v>
      </c>
      <c r="B680">
        <v>206764</v>
      </c>
      <c r="C680">
        <v>206148</v>
      </c>
      <c r="D680" s="1">
        <v>0</v>
      </c>
    </row>
    <row r="681" spans="1:4" ht="14.4" customHeight="1" x14ac:dyDescent="0.3">
      <c r="A681" s="1">
        <v>679</v>
      </c>
      <c r="B681">
        <v>206764</v>
      </c>
      <c r="C681">
        <v>208776</v>
      </c>
      <c r="D681" s="1">
        <v>0</v>
      </c>
    </row>
    <row r="682" spans="1:4" ht="14.4" customHeight="1" x14ac:dyDescent="0.3">
      <c r="A682" s="1">
        <v>680</v>
      </c>
      <c r="B682">
        <v>206764</v>
      </c>
      <c r="C682">
        <v>205551</v>
      </c>
      <c r="D682" s="1">
        <v>0</v>
      </c>
    </row>
    <row r="683" spans="1:4" ht="14.4" customHeight="1" x14ac:dyDescent="0.3">
      <c r="A683" s="1">
        <v>681</v>
      </c>
      <c r="B683">
        <v>206764</v>
      </c>
      <c r="C683">
        <v>208485</v>
      </c>
      <c r="D683" s="1">
        <v>0</v>
      </c>
    </row>
    <row r="684" spans="1:4" ht="14.4" customHeight="1" x14ac:dyDescent="0.3">
      <c r="A684" s="1">
        <v>682</v>
      </c>
      <c r="B684">
        <v>206764</v>
      </c>
      <c r="C684">
        <v>206280</v>
      </c>
      <c r="D684" s="1">
        <v>0</v>
      </c>
    </row>
    <row r="685" spans="1:4" ht="14.4" customHeight="1" x14ac:dyDescent="0.3">
      <c r="A685" s="1">
        <v>683</v>
      </c>
      <c r="B685">
        <v>206764</v>
      </c>
      <c r="C685">
        <v>205750</v>
      </c>
      <c r="D685" s="1">
        <v>0</v>
      </c>
    </row>
    <row r="686" spans="1:4" ht="14.4" customHeight="1" x14ac:dyDescent="0.3">
      <c r="A686" s="1">
        <v>684</v>
      </c>
      <c r="B686">
        <v>206764</v>
      </c>
      <c r="C686">
        <v>208622</v>
      </c>
      <c r="D686" s="1">
        <v>0</v>
      </c>
    </row>
    <row r="687" spans="1:4" ht="14.4" customHeight="1" x14ac:dyDescent="0.3">
      <c r="A687" s="1">
        <v>685</v>
      </c>
      <c r="B687">
        <v>206764</v>
      </c>
      <c r="C687">
        <v>208657</v>
      </c>
      <c r="D687" s="1">
        <v>0</v>
      </c>
    </row>
    <row r="688" spans="1:4" ht="14.4" customHeight="1" x14ac:dyDescent="0.3">
      <c r="A688" s="1">
        <v>686</v>
      </c>
      <c r="B688">
        <v>206764</v>
      </c>
      <c r="C688">
        <v>209385</v>
      </c>
      <c r="D688" s="1">
        <v>0</v>
      </c>
    </row>
    <row r="689" spans="1:4" ht="14.4" customHeight="1" x14ac:dyDescent="0.3">
      <c r="A689" s="1">
        <v>687</v>
      </c>
      <c r="B689">
        <v>206764</v>
      </c>
      <c r="C689">
        <v>205505</v>
      </c>
      <c r="D689" s="1">
        <v>0</v>
      </c>
    </row>
    <row r="690" spans="1:4" ht="14.4" customHeight="1" x14ac:dyDescent="0.3">
      <c r="A690" s="1">
        <v>688</v>
      </c>
      <c r="B690">
        <v>206764</v>
      </c>
      <c r="C690">
        <v>207238</v>
      </c>
      <c r="D690" s="1">
        <v>0</v>
      </c>
    </row>
    <row r="691" spans="1:4" ht="14.4" customHeight="1" x14ac:dyDescent="0.3">
      <c r="A691" s="1">
        <v>689</v>
      </c>
      <c r="B691">
        <v>206764</v>
      </c>
      <c r="C691">
        <v>207561</v>
      </c>
      <c r="D691" s="1">
        <v>0</v>
      </c>
    </row>
    <row r="692" spans="1:4" ht="14.4" customHeight="1" x14ac:dyDescent="0.3">
      <c r="A692" s="1">
        <v>690</v>
      </c>
      <c r="B692">
        <v>206764</v>
      </c>
      <c r="C692">
        <v>206872</v>
      </c>
      <c r="D692" s="1">
        <v>0</v>
      </c>
    </row>
    <row r="693" spans="1:4" ht="14.4" customHeight="1" x14ac:dyDescent="0.3">
      <c r="A693" s="1">
        <v>691</v>
      </c>
      <c r="B693">
        <v>206764</v>
      </c>
      <c r="C693">
        <v>208511</v>
      </c>
      <c r="D693" s="1">
        <v>0</v>
      </c>
    </row>
    <row r="694" spans="1:4" ht="14.4" customHeight="1" x14ac:dyDescent="0.3">
      <c r="A694" s="1">
        <v>692</v>
      </c>
      <c r="B694">
        <v>206764</v>
      </c>
      <c r="C694">
        <v>222031</v>
      </c>
      <c r="D694" s="1">
        <v>0</v>
      </c>
    </row>
    <row r="695" spans="1:4" ht="14.4" customHeight="1" x14ac:dyDescent="0.3">
      <c r="A695" s="1">
        <v>693</v>
      </c>
      <c r="B695">
        <v>206764</v>
      </c>
      <c r="C695">
        <v>209491</v>
      </c>
      <c r="D695" s="1">
        <v>0</v>
      </c>
    </row>
    <row r="696" spans="1:4" ht="14.4" customHeight="1" x14ac:dyDescent="0.3">
      <c r="A696" s="1">
        <v>694</v>
      </c>
      <c r="B696">
        <v>206764</v>
      </c>
      <c r="C696">
        <v>208624</v>
      </c>
      <c r="D696" s="1">
        <v>2</v>
      </c>
    </row>
    <row r="697" spans="1:4" ht="14.4" customHeight="1" x14ac:dyDescent="0.3">
      <c r="A697" s="1">
        <v>695</v>
      </c>
      <c r="B697">
        <v>206764</v>
      </c>
      <c r="C697">
        <v>207259</v>
      </c>
      <c r="D697" s="1">
        <v>0</v>
      </c>
    </row>
    <row r="698" spans="1:4" ht="14.4" customHeight="1" x14ac:dyDescent="0.3">
      <c r="A698" s="1">
        <v>696</v>
      </c>
      <c r="B698">
        <v>206764</v>
      </c>
      <c r="C698">
        <v>208777</v>
      </c>
      <c r="D698" s="1">
        <v>0</v>
      </c>
    </row>
    <row r="699" spans="1:4" ht="14.4" customHeight="1" x14ac:dyDescent="0.3">
      <c r="A699" s="1">
        <v>697</v>
      </c>
      <c r="B699">
        <v>222054</v>
      </c>
      <c r="C699">
        <v>209176</v>
      </c>
      <c r="D699" s="1">
        <v>0</v>
      </c>
    </row>
    <row r="700" spans="1:4" ht="14.4" customHeight="1" x14ac:dyDescent="0.3">
      <c r="A700" s="1">
        <v>698</v>
      </c>
      <c r="B700">
        <v>222054</v>
      </c>
      <c r="C700">
        <v>205075</v>
      </c>
      <c r="D700" s="1">
        <v>0</v>
      </c>
    </row>
    <row r="701" spans="1:4" ht="14.4" customHeight="1" x14ac:dyDescent="0.3">
      <c r="A701" s="1">
        <v>699</v>
      </c>
      <c r="B701">
        <v>222054</v>
      </c>
      <c r="C701">
        <v>206937</v>
      </c>
      <c r="D701" s="1">
        <v>0</v>
      </c>
    </row>
    <row r="702" spans="1:4" ht="14.4" customHeight="1" x14ac:dyDescent="0.3">
      <c r="A702" s="1">
        <v>700</v>
      </c>
      <c r="B702">
        <v>222054</v>
      </c>
      <c r="C702">
        <v>207758</v>
      </c>
      <c r="D702" s="1">
        <v>0</v>
      </c>
    </row>
    <row r="703" spans="1:4" ht="14.4" customHeight="1" x14ac:dyDescent="0.3">
      <c r="A703" s="1">
        <v>701</v>
      </c>
      <c r="B703">
        <v>222054</v>
      </c>
      <c r="C703">
        <v>208043</v>
      </c>
      <c r="D703" s="1">
        <v>0</v>
      </c>
    </row>
    <row r="704" spans="1:4" ht="14.4" customHeight="1" x14ac:dyDescent="0.3">
      <c r="A704" s="1">
        <v>702</v>
      </c>
      <c r="B704">
        <v>222054</v>
      </c>
      <c r="C704">
        <v>206905</v>
      </c>
      <c r="D704" s="1">
        <v>0</v>
      </c>
    </row>
    <row r="705" spans="1:4" ht="14.4" customHeight="1" x14ac:dyDescent="0.3">
      <c r="A705" s="1">
        <v>703</v>
      </c>
      <c r="B705">
        <v>222054</v>
      </c>
      <c r="C705">
        <v>222044</v>
      </c>
      <c r="D705" s="1">
        <v>0</v>
      </c>
    </row>
    <row r="706" spans="1:4" ht="14.4" customHeight="1" x14ac:dyDescent="0.3">
      <c r="A706" s="1">
        <v>704</v>
      </c>
      <c r="B706">
        <v>222054</v>
      </c>
      <c r="C706">
        <v>206770</v>
      </c>
      <c r="D706" s="1">
        <v>0</v>
      </c>
    </row>
    <row r="707" spans="1:4" ht="14.4" customHeight="1" x14ac:dyDescent="0.3">
      <c r="A707" s="1">
        <v>705</v>
      </c>
      <c r="B707">
        <v>222054</v>
      </c>
      <c r="C707">
        <v>206841</v>
      </c>
      <c r="D707" s="1">
        <v>0</v>
      </c>
    </row>
    <row r="708" spans="1:4" ht="14.4" customHeight="1" x14ac:dyDescent="0.3">
      <c r="A708" s="1">
        <v>706</v>
      </c>
      <c r="B708">
        <v>222054</v>
      </c>
      <c r="C708">
        <v>209266</v>
      </c>
      <c r="D708" s="1">
        <v>0</v>
      </c>
    </row>
    <row r="709" spans="1:4" ht="14.4" customHeight="1" x14ac:dyDescent="0.3">
      <c r="A709" s="1">
        <v>707</v>
      </c>
      <c r="B709">
        <v>222054</v>
      </c>
      <c r="C709">
        <v>232847</v>
      </c>
      <c r="D709" s="1">
        <v>0</v>
      </c>
    </row>
    <row r="710" spans="1:4" ht="14.4" customHeight="1" x14ac:dyDescent="0.3">
      <c r="A710" s="1">
        <v>708</v>
      </c>
      <c r="B710">
        <v>222054</v>
      </c>
      <c r="C710">
        <v>209136</v>
      </c>
      <c r="D710" s="1">
        <v>1</v>
      </c>
    </row>
    <row r="711" spans="1:4" ht="14.4" customHeight="1" x14ac:dyDescent="0.3">
      <c r="A711" s="1">
        <v>709</v>
      </c>
      <c r="B711">
        <v>222054</v>
      </c>
      <c r="C711">
        <v>207077</v>
      </c>
      <c r="D711" s="1">
        <v>0</v>
      </c>
    </row>
    <row r="712" spans="1:4" ht="14.4" customHeight="1" x14ac:dyDescent="0.3">
      <c r="A712" s="1">
        <v>710</v>
      </c>
      <c r="B712">
        <v>222054</v>
      </c>
      <c r="C712">
        <v>206148</v>
      </c>
      <c r="D712" s="1">
        <v>0</v>
      </c>
    </row>
    <row r="713" spans="1:4" ht="14.4" customHeight="1" x14ac:dyDescent="0.3">
      <c r="A713" s="1">
        <v>711</v>
      </c>
      <c r="B713">
        <v>222054</v>
      </c>
      <c r="C713">
        <v>208776</v>
      </c>
      <c r="D713" s="1">
        <v>0</v>
      </c>
    </row>
    <row r="714" spans="1:4" ht="14.4" customHeight="1" x14ac:dyDescent="0.3">
      <c r="A714" s="1">
        <v>712</v>
      </c>
      <c r="B714">
        <v>222054</v>
      </c>
      <c r="C714">
        <v>205551</v>
      </c>
      <c r="D714" s="1">
        <v>0</v>
      </c>
    </row>
    <row r="715" spans="1:4" ht="14.4" customHeight="1" x14ac:dyDescent="0.3">
      <c r="A715" s="1">
        <v>713</v>
      </c>
      <c r="B715">
        <v>222054</v>
      </c>
      <c r="C715">
        <v>208485</v>
      </c>
      <c r="D715" s="1">
        <v>0</v>
      </c>
    </row>
    <row r="716" spans="1:4" ht="14.4" customHeight="1" x14ac:dyDescent="0.3">
      <c r="A716" s="1">
        <v>714</v>
      </c>
      <c r="B716">
        <v>222054</v>
      </c>
      <c r="C716">
        <v>206280</v>
      </c>
      <c r="D716" s="1">
        <v>0</v>
      </c>
    </row>
    <row r="717" spans="1:4" ht="14.4" customHeight="1" x14ac:dyDescent="0.3">
      <c r="A717" s="1">
        <v>715</v>
      </c>
      <c r="B717">
        <v>222054</v>
      </c>
      <c r="C717">
        <v>205750</v>
      </c>
      <c r="D717" s="1">
        <v>0</v>
      </c>
    </row>
    <row r="718" spans="1:4" ht="14.4" customHeight="1" x14ac:dyDescent="0.3">
      <c r="A718" s="1">
        <v>716</v>
      </c>
      <c r="B718">
        <v>222054</v>
      </c>
      <c r="C718">
        <v>208622</v>
      </c>
      <c r="D718" s="1">
        <v>0</v>
      </c>
    </row>
    <row r="719" spans="1:4" ht="14.4" customHeight="1" x14ac:dyDescent="0.3">
      <c r="A719" s="1">
        <v>717</v>
      </c>
      <c r="B719">
        <v>222054</v>
      </c>
      <c r="C719">
        <v>208657</v>
      </c>
      <c r="D719" s="1">
        <v>0</v>
      </c>
    </row>
    <row r="720" spans="1:4" ht="14.4" customHeight="1" x14ac:dyDescent="0.3">
      <c r="A720" s="1">
        <v>718</v>
      </c>
      <c r="B720">
        <v>222054</v>
      </c>
      <c r="C720">
        <v>209385</v>
      </c>
      <c r="D720" s="1">
        <v>0</v>
      </c>
    </row>
    <row r="721" spans="1:4" ht="14.4" customHeight="1" x14ac:dyDescent="0.3">
      <c r="A721" s="1">
        <v>719</v>
      </c>
      <c r="B721">
        <v>222054</v>
      </c>
      <c r="C721">
        <v>205505</v>
      </c>
      <c r="D721" s="1">
        <v>0</v>
      </c>
    </row>
    <row r="722" spans="1:4" ht="14.4" customHeight="1" x14ac:dyDescent="0.3">
      <c r="A722" s="1">
        <v>720</v>
      </c>
      <c r="B722">
        <v>222054</v>
      </c>
      <c r="C722">
        <v>207238</v>
      </c>
      <c r="D722" s="1">
        <v>0</v>
      </c>
    </row>
    <row r="723" spans="1:4" ht="14.4" customHeight="1" x14ac:dyDescent="0.3">
      <c r="A723" s="1">
        <v>721</v>
      </c>
      <c r="B723">
        <v>222054</v>
      </c>
      <c r="C723">
        <v>207561</v>
      </c>
      <c r="D723" s="1">
        <v>1</v>
      </c>
    </row>
    <row r="724" spans="1:4" ht="14.4" customHeight="1" x14ac:dyDescent="0.3">
      <c r="A724" s="1">
        <v>722</v>
      </c>
      <c r="B724">
        <v>222054</v>
      </c>
      <c r="C724">
        <v>206872</v>
      </c>
      <c r="D724" s="1">
        <v>0</v>
      </c>
    </row>
    <row r="725" spans="1:4" ht="14.4" customHeight="1" x14ac:dyDescent="0.3">
      <c r="A725" s="1">
        <v>723</v>
      </c>
      <c r="B725">
        <v>222054</v>
      </c>
      <c r="C725">
        <v>208511</v>
      </c>
      <c r="D725" s="1">
        <v>0</v>
      </c>
    </row>
    <row r="726" spans="1:4" ht="14.4" customHeight="1" x14ac:dyDescent="0.3">
      <c r="A726" s="1">
        <v>724</v>
      </c>
      <c r="B726">
        <v>222054</v>
      </c>
      <c r="C726">
        <v>222031</v>
      </c>
      <c r="D726" s="1">
        <v>0</v>
      </c>
    </row>
    <row r="727" spans="1:4" ht="14.4" customHeight="1" x14ac:dyDescent="0.3">
      <c r="A727" s="1">
        <v>725</v>
      </c>
      <c r="B727">
        <v>222054</v>
      </c>
      <c r="C727">
        <v>209491</v>
      </c>
      <c r="D727" s="1">
        <v>0</v>
      </c>
    </row>
    <row r="728" spans="1:4" ht="14.4" customHeight="1" x14ac:dyDescent="0.3">
      <c r="A728" s="1">
        <v>726</v>
      </c>
      <c r="B728">
        <v>222054</v>
      </c>
      <c r="C728">
        <v>208624</v>
      </c>
      <c r="D728" s="1">
        <v>0</v>
      </c>
    </row>
    <row r="729" spans="1:4" ht="14.4" customHeight="1" x14ac:dyDescent="0.3">
      <c r="A729" s="1">
        <v>727</v>
      </c>
      <c r="B729">
        <v>222054</v>
      </c>
      <c r="C729">
        <v>207259</v>
      </c>
      <c r="D729" s="1">
        <v>1</v>
      </c>
    </row>
    <row r="730" spans="1:4" ht="14.4" customHeight="1" x14ac:dyDescent="0.3">
      <c r="A730" s="1">
        <v>728</v>
      </c>
      <c r="B730">
        <v>222054</v>
      </c>
      <c r="C730">
        <v>208777</v>
      </c>
      <c r="D730" s="1">
        <v>0</v>
      </c>
    </row>
    <row r="731" spans="1:4" ht="14.4" customHeight="1" x14ac:dyDescent="0.3">
      <c r="A731" s="1">
        <v>729</v>
      </c>
      <c r="B731">
        <v>209176</v>
      </c>
      <c r="C731">
        <v>205075</v>
      </c>
      <c r="D731" s="1">
        <v>0</v>
      </c>
    </row>
    <row r="732" spans="1:4" ht="14.4" customHeight="1" x14ac:dyDescent="0.3">
      <c r="A732" s="1">
        <v>730</v>
      </c>
      <c r="B732">
        <v>209176</v>
      </c>
      <c r="C732">
        <v>206937</v>
      </c>
      <c r="D732" s="1">
        <v>3</v>
      </c>
    </row>
    <row r="733" spans="1:4" ht="14.4" customHeight="1" x14ac:dyDescent="0.3">
      <c r="A733" s="1">
        <v>731</v>
      </c>
      <c r="B733">
        <v>209176</v>
      </c>
      <c r="C733">
        <v>207758</v>
      </c>
      <c r="D733" s="1">
        <v>0</v>
      </c>
    </row>
    <row r="734" spans="1:4" ht="14.4" customHeight="1" x14ac:dyDescent="0.3">
      <c r="A734" s="1">
        <v>732</v>
      </c>
      <c r="B734">
        <v>209176</v>
      </c>
      <c r="C734">
        <v>208043</v>
      </c>
      <c r="D734" s="1">
        <v>0</v>
      </c>
    </row>
    <row r="735" spans="1:4" ht="14.4" customHeight="1" x14ac:dyDescent="0.3">
      <c r="A735" s="1">
        <v>733</v>
      </c>
      <c r="B735">
        <v>209176</v>
      </c>
      <c r="C735">
        <v>206905</v>
      </c>
      <c r="D735" s="1">
        <v>0</v>
      </c>
    </row>
    <row r="736" spans="1:4" ht="14.4" customHeight="1" x14ac:dyDescent="0.3">
      <c r="A736" s="1">
        <v>734</v>
      </c>
      <c r="B736">
        <v>209176</v>
      </c>
      <c r="C736">
        <v>222044</v>
      </c>
      <c r="D736" s="1">
        <v>0</v>
      </c>
    </row>
    <row r="737" spans="1:4" ht="14.4" customHeight="1" x14ac:dyDescent="0.3">
      <c r="A737" s="1">
        <v>735</v>
      </c>
      <c r="B737">
        <v>209176</v>
      </c>
      <c r="C737">
        <v>206770</v>
      </c>
      <c r="D737" s="1">
        <v>0</v>
      </c>
    </row>
    <row r="738" spans="1:4" ht="14.4" customHeight="1" x14ac:dyDescent="0.3">
      <c r="A738" s="1">
        <v>736</v>
      </c>
      <c r="B738">
        <v>209176</v>
      </c>
      <c r="C738">
        <v>206841</v>
      </c>
      <c r="D738" s="1">
        <v>1</v>
      </c>
    </row>
    <row r="739" spans="1:4" ht="14.4" customHeight="1" x14ac:dyDescent="0.3">
      <c r="A739" s="1">
        <v>737</v>
      </c>
      <c r="B739">
        <v>209176</v>
      </c>
      <c r="C739">
        <v>209266</v>
      </c>
      <c r="D739" s="1">
        <v>0</v>
      </c>
    </row>
    <row r="740" spans="1:4" ht="14.4" customHeight="1" x14ac:dyDescent="0.3">
      <c r="A740" s="1">
        <v>738</v>
      </c>
      <c r="B740">
        <v>209176</v>
      </c>
      <c r="C740">
        <v>232847</v>
      </c>
      <c r="D740" s="1">
        <v>0</v>
      </c>
    </row>
    <row r="741" spans="1:4" ht="14.4" customHeight="1" x14ac:dyDescent="0.3">
      <c r="A741" s="1">
        <v>739</v>
      </c>
      <c r="B741">
        <v>209176</v>
      </c>
      <c r="C741">
        <v>209136</v>
      </c>
      <c r="D741" s="1">
        <v>1</v>
      </c>
    </row>
    <row r="742" spans="1:4" ht="14.4" customHeight="1" x14ac:dyDescent="0.3">
      <c r="A742" s="1">
        <v>740</v>
      </c>
      <c r="B742">
        <v>209176</v>
      </c>
      <c r="C742">
        <v>207077</v>
      </c>
      <c r="D742" s="1">
        <v>0</v>
      </c>
    </row>
    <row r="743" spans="1:4" ht="14.4" customHeight="1" x14ac:dyDescent="0.3">
      <c r="A743" s="1">
        <v>741</v>
      </c>
      <c r="B743">
        <v>209176</v>
      </c>
      <c r="C743">
        <v>206148</v>
      </c>
      <c r="D743" s="1">
        <v>0</v>
      </c>
    </row>
    <row r="744" spans="1:4" ht="14.4" customHeight="1" x14ac:dyDescent="0.3">
      <c r="A744" s="1">
        <v>742</v>
      </c>
      <c r="B744">
        <v>209176</v>
      </c>
      <c r="C744">
        <v>208776</v>
      </c>
      <c r="D744" s="1">
        <v>5</v>
      </c>
    </row>
    <row r="745" spans="1:4" ht="14.4" customHeight="1" x14ac:dyDescent="0.3">
      <c r="A745" s="1">
        <v>743</v>
      </c>
      <c r="B745">
        <v>209176</v>
      </c>
      <c r="C745">
        <v>205551</v>
      </c>
      <c r="D745" s="1">
        <v>0</v>
      </c>
    </row>
    <row r="746" spans="1:4" ht="14.4" customHeight="1" x14ac:dyDescent="0.3">
      <c r="A746" s="1">
        <v>744</v>
      </c>
      <c r="B746">
        <v>209176</v>
      </c>
      <c r="C746">
        <v>208485</v>
      </c>
      <c r="D746" s="1">
        <v>0</v>
      </c>
    </row>
    <row r="747" spans="1:4" ht="14.4" customHeight="1" x14ac:dyDescent="0.3">
      <c r="A747" s="1">
        <v>745</v>
      </c>
      <c r="B747">
        <v>209176</v>
      </c>
      <c r="C747">
        <v>206280</v>
      </c>
      <c r="D747" s="1">
        <v>0</v>
      </c>
    </row>
    <row r="748" spans="1:4" ht="14.4" customHeight="1" x14ac:dyDescent="0.3">
      <c r="A748" s="1">
        <v>746</v>
      </c>
      <c r="B748">
        <v>209176</v>
      </c>
      <c r="C748">
        <v>205750</v>
      </c>
      <c r="D748" s="1">
        <v>0</v>
      </c>
    </row>
    <row r="749" spans="1:4" ht="14.4" customHeight="1" x14ac:dyDescent="0.3">
      <c r="A749" s="1">
        <v>747</v>
      </c>
      <c r="B749">
        <v>209176</v>
      </c>
      <c r="C749">
        <v>208622</v>
      </c>
      <c r="D749" s="1">
        <v>0</v>
      </c>
    </row>
    <row r="750" spans="1:4" ht="14.4" customHeight="1" x14ac:dyDescent="0.3">
      <c r="A750" s="1">
        <v>748</v>
      </c>
      <c r="B750">
        <v>209176</v>
      </c>
      <c r="C750">
        <v>208657</v>
      </c>
      <c r="D750" s="1">
        <v>0</v>
      </c>
    </row>
    <row r="751" spans="1:4" ht="14.4" customHeight="1" x14ac:dyDescent="0.3">
      <c r="A751" s="1">
        <v>749</v>
      </c>
      <c r="B751">
        <v>209176</v>
      </c>
      <c r="C751">
        <v>209385</v>
      </c>
      <c r="D751" s="1">
        <v>0</v>
      </c>
    </row>
    <row r="752" spans="1:4" ht="14.4" customHeight="1" x14ac:dyDescent="0.3">
      <c r="A752" s="1">
        <v>750</v>
      </c>
      <c r="B752">
        <v>209176</v>
      </c>
      <c r="C752">
        <v>205505</v>
      </c>
      <c r="D752" s="1">
        <v>0</v>
      </c>
    </row>
    <row r="753" spans="1:4" ht="14.4" customHeight="1" x14ac:dyDescent="0.3">
      <c r="A753" s="1">
        <v>751</v>
      </c>
      <c r="B753">
        <v>209176</v>
      </c>
      <c r="C753">
        <v>207238</v>
      </c>
      <c r="D753" s="1">
        <v>0</v>
      </c>
    </row>
    <row r="754" spans="1:4" ht="14.4" customHeight="1" x14ac:dyDescent="0.3">
      <c r="A754" s="1">
        <v>752</v>
      </c>
      <c r="B754">
        <v>209176</v>
      </c>
      <c r="C754">
        <v>207561</v>
      </c>
      <c r="D754" s="1">
        <v>3</v>
      </c>
    </row>
    <row r="755" spans="1:4" ht="14.4" customHeight="1" x14ac:dyDescent="0.3">
      <c r="A755" s="1">
        <v>753</v>
      </c>
      <c r="B755">
        <v>209176</v>
      </c>
      <c r="C755">
        <v>206872</v>
      </c>
      <c r="D755" s="1">
        <v>0</v>
      </c>
    </row>
    <row r="756" spans="1:4" ht="14.4" customHeight="1" x14ac:dyDescent="0.3">
      <c r="A756" s="1">
        <v>754</v>
      </c>
      <c r="B756">
        <v>209176</v>
      </c>
      <c r="C756">
        <v>208511</v>
      </c>
      <c r="D756" s="1">
        <v>0</v>
      </c>
    </row>
    <row r="757" spans="1:4" ht="14.4" customHeight="1" x14ac:dyDescent="0.3">
      <c r="A757" s="1">
        <v>755</v>
      </c>
      <c r="B757">
        <v>209176</v>
      </c>
      <c r="C757">
        <v>222031</v>
      </c>
      <c r="D757" s="1">
        <v>0</v>
      </c>
    </row>
    <row r="758" spans="1:4" ht="14.4" customHeight="1" x14ac:dyDescent="0.3">
      <c r="A758" s="1">
        <v>756</v>
      </c>
      <c r="B758">
        <v>209176</v>
      </c>
      <c r="C758">
        <v>209491</v>
      </c>
      <c r="D758" s="1">
        <v>0</v>
      </c>
    </row>
    <row r="759" spans="1:4" ht="14.4" customHeight="1" x14ac:dyDescent="0.3">
      <c r="A759" s="1">
        <v>757</v>
      </c>
      <c r="B759">
        <v>209176</v>
      </c>
      <c r="C759">
        <v>208624</v>
      </c>
      <c r="D759" s="1">
        <v>0</v>
      </c>
    </row>
    <row r="760" spans="1:4" ht="14.4" customHeight="1" x14ac:dyDescent="0.3">
      <c r="A760" s="1">
        <v>758</v>
      </c>
      <c r="B760">
        <v>209176</v>
      </c>
      <c r="C760">
        <v>207259</v>
      </c>
      <c r="D760" s="1">
        <v>1</v>
      </c>
    </row>
    <row r="761" spans="1:4" ht="14.4" customHeight="1" x14ac:dyDescent="0.3">
      <c r="A761" s="1">
        <v>759</v>
      </c>
      <c r="B761">
        <v>209176</v>
      </c>
      <c r="C761">
        <v>208777</v>
      </c>
      <c r="D761" s="1">
        <v>0</v>
      </c>
    </row>
    <row r="762" spans="1:4" ht="14.4" customHeight="1" x14ac:dyDescent="0.3">
      <c r="A762" s="1">
        <v>760</v>
      </c>
      <c r="B762">
        <v>205075</v>
      </c>
      <c r="C762">
        <v>206937</v>
      </c>
      <c r="D762" s="1">
        <v>0</v>
      </c>
    </row>
    <row r="763" spans="1:4" ht="14.4" customHeight="1" x14ac:dyDescent="0.3">
      <c r="A763" s="1">
        <v>761</v>
      </c>
      <c r="B763">
        <v>205075</v>
      </c>
      <c r="C763">
        <v>207758</v>
      </c>
      <c r="D763" s="1">
        <v>0</v>
      </c>
    </row>
    <row r="764" spans="1:4" ht="14.4" customHeight="1" x14ac:dyDescent="0.3">
      <c r="A764" s="1">
        <v>762</v>
      </c>
      <c r="B764">
        <v>205075</v>
      </c>
      <c r="C764">
        <v>208043</v>
      </c>
      <c r="D764" s="1">
        <v>0</v>
      </c>
    </row>
    <row r="765" spans="1:4" ht="14.4" customHeight="1" x14ac:dyDescent="0.3">
      <c r="A765" s="1">
        <v>763</v>
      </c>
      <c r="B765">
        <v>205075</v>
      </c>
      <c r="C765">
        <v>206905</v>
      </c>
      <c r="D765" s="1">
        <v>0</v>
      </c>
    </row>
    <row r="766" spans="1:4" ht="14.4" customHeight="1" x14ac:dyDescent="0.3">
      <c r="A766" s="1">
        <v>764</v>
      </c>
      <c r="B766">
        <v>205075</v>
      </c>
      <c r="C766">
        <v>222044</v>
      </c>
      <c r="D766" s="1">
        <v>0</v>
      </c>
    </row>
    <row r="767" spans="1:4" ht="14.4" customHeight="1" x14ac:dyDescent="0.3">
      <c r="A767" s="1">
        <v>765</v>
      </c>
      <c r="B767">
        <v>205075</v>
      </c>
      <c r="C767">
        <v>206770</v>
      </c>
      <c r="D767" s="1">
        <v>0</v>
      </c>
    </row>
    <row r="768" spans="1:4" ht="14.4" customHeight="1" x14ac:dyDescent="0.3">
      <c r="A768" s="1">
        <v>766</v>
      </c>
      <c r="B768">
        <v>205075</v>
      </c>
      <c r="C768">
        <v>206841</v>
      </c>
      <c r="D768" s="1">
        <v>0</v>
      </c>
    </row>
    <row r="769" spans="1:4" ht="14.4" customHeight="1" x14ac:dyDescent="0.3">
      <c r="A769" s="1">
        <v>767</v>
      </c>
      <c r="B769">
        <v>205075</v>
      </c>
      <c r="C769">
        <v>209266</v>
      </c>
      <c r="D769" s="1">
        <v>0</v>
      </c>
    </row>
    <row r="770" spans="1:4" ht="14.4" customHeight="1" x14ac:dyDescent="0.3">
      <c r="A770" s="1">
        <v>768</v>
      </c>
      <c r="B770">
        <v>205075</v>
      </c>
      <c r="C770">
        <v>232847</v>
      </c>
      <c r="D770" s="1">
        <v>0</v>
      </c>
    </row>
    <row r="771" spans="1:4" ht="14.4" customHeight="1" x14ac:dyDescent="0.3">
      <c r="A771" s="1">
        <v>769</v>
      </c>
      <c r="B771">
        <v>205075</v>
      </c>
      <c r="C771">
        <v>209136</v>
      </c>
      <c r="D771" s="1">
        <v>0</v>
      </c>
    </row>
    <row r="772" spans="1:4" ht="14.4" customHeight="1" x14ac:dyDescent="0.3">
      <c r="A772" s="1">
        <v>770</v>
      </c>
      <c r="B772">
        <v>205075</v>
      </c>
      <c r="C772">
        <v>207077</v>
      </c>
      <c r="D772" s="1">
        <v>0</v>
      </c>
    </row>
    <row r="773" spans="1:4" ht="14.4" customHeight="1" x14ac:dyDescent="0.3">
      <c r="A773" s="1">
        <v>771</v>
      </c>
      <c r="B773">
        <v>205075</v>
      </c>
      <c r="C773">
        <v>206148</v>
      </c>
      <c r="D773" s="1">
        <v>0</v>
      </c>
    </row>
    <row r="774" spans="1:4" ht="14.4" customHeight="1" x14ac:dyDescent="0.3">
      <c r="A774" s="1">
        <v>772</v>
      </c>
      <c r="B774">
        <v>205075</v>
      </c>
      <c r="C774">
        <v>208776</v>
      </c>
      <c r="D774" s="1">
        <v>0</v>
      </c>
    </row>
    <row r="775" spans="1:4" ht="14.4" customHeight="1" x14ac:dyDescent="0.3">
      <c r="A775" s="1">
        <v>773</v>
      </c>
      <c r="B775">
        <v>205075</v>
      </c>
      <c r="C775">
        <v>205551</v>
      </c>
      <c r="D775" s="1">
        <v>0</v>
      </c>
    </row>
    <row r="776" spans="1:4" ht="14.4" customHeight="1" x14ac:dyDescent="0.3">
      <c r="A776" s="1">
        <v>774</v>
      </c>
      <c r="B776">
        <v>205075</v>
      </c>
      <c r="C776">
        <v>208485</v>
      </c>
      <c r="D776" s="1">
        <v>0</v>
      </c>
    </row>
    <row r="777" spans="1:4" ht="14.4" customHeight="1" x14ac:dyDescent="0.3">
      <c r="A777" s="1">
        <v>775</v>
      </c>
      <c r="B777">
        <v>205075</v>
      </c>
      <c r="C777">
        <v>206280</v>
      </c>
      <c r="D777" s="1">
        <v>0</v>
      </c>
    </row>
    <row r="778" spans="1:4" ht="14.4" customHeight="1" x14ac:dyDescent="0.3">
      <c r="A778" s="1">
        <v>776</v>
      </c>
      <c r="B778">
        <v>205075</v>
      </c>
      <c r="C778">
        <v>205750</v>
      </c>
      <c r="D778" s="1">
        <v>0</v>
      </c>
    </row>
    <row r="779" spans="1:4" ht="14.4" customHeight="1" x14ac:dyDescent="0.3">
      <c r="A779" s="1">
        <v>777</v>
      </c>
      <c r="B779">
        <v>205075</v>
      </c>
      <c r="C779">
        <v>208622</v>
      </c>
      <c r="D779" s="1">
        <v>0</v>
      </c>
    </row>
    <row r="780" spans="1:4" ht="14.4" customHeight="1" x14ac:dyDescent="0.3">
      <c r="A780" s="1">
        <v>778</v>
      </c>
      <c r="B780">
        <v>205075</v>
      </c>
      <c r="C780">
        <v>208657</v>
      </c>
      <c r="D780" s="1">
        <v>0</v>
      </c>
    </row>
    <row r="781" spans="1:4" ht="14.4" customHeight="1" x14ac:dyDescent="0.3">
      <c r="A781" s="1">
        <v>779</v>
      </c>
      <c r="B781">
        <v>205075</v>
      </c>
      <c r="C781">
        <v>209385</v>
      </c>
      <c r="D781" s="1">
        <v>0</v>
      </c>
    </row>
    <row r="782" spans="1:4" ht="14.4" customHeight="1" x14ac:dyDescent="0.3">
      <c r="A782" s="1">
        <v>780</v>
      </c>
      <c r="B782">
        <v>205075</v>
      </c>
      <c r="C782">
        <v>205505</v>
      </c>
      <c r="D782" s="1">
        <v>0</v>
      </c>
    </row>
    <row r="783" spans="1:4" ht="14.4" customHeight="1" x14ac:dyDescent="0.3">
      <c r="A783" s="1">
        <v>781</v>
      </c>
      <c r="B783">
        <v>205075</v>
      </c>
      <c r="C783">
        <v>207238</v>
      </c>
      <c r="D783" s="1">
        <v>0</v>
      </c>
    </row>
    <row r="784" spans="1:4" ht="14.4" customHeight="1" x14ac:dyDescent="0.3">
      <c r="A784" s="1">
        <v>782</v>
      </c>
      <c r="B784">
        <v>205075</v>
      </c>
      <c r="C784">
        <v>207561</v>
      </c>
      <c r="D784" s="1">
        <v>0</v>
      </c>
    </row>
    <row r="785" spans="1:4" ht="14.4" customHeight="1" x14ac:dyDescent="0.3">
      <c r="A785" s="1">
        <v>783</v>
      </c>
      <c r="B785">
        <v>205075</v>
      </c>
      <c r="C785">
        <v>206872</v>
      </c>
      <c r="D785" s="1">
        <v>0</v>
      </c>
    </row>
    <row r="786" spans="1:4" ht="14.4" customHeight="1" x14ac:dyDescent="0.3">
      <c r="A786" s="1">
        <v>784</v>
      </c>
      <c r="B786">
        <v>205075</v>
      </c>
      <c r="C786">
        <v>208511</v>
      </c>
      <c r="D786" s="1">
        <v>0</v>
      </c>
    </row>
    <row r="787" spans="1:4" ht="14.4" customHeight="1" x14ac:dyDescent="0.3">
      <c r="A787" s="1">
        <v>785</v>
      </c>
      <c r="B787">
        <v>205075</v>
      </c>
      <c r="C787">
        <v>222031</v>
      </c>
      <c r="D787" s="1">
        <v>0</v>
      </c>
    </row>
    <row r="788" spans="1:4" ht="14.4" customHeight="1" x14ac:dyDescent="0.3">
      <c r="A788" s="1">
        <v>786</v>
      </c>
      <c r="B788">
        <v>205075</v>
      </c>
      <c r="C788">
        <v>209491</v>
      </c>
      <c r="D788" s="1">
        <v>0</v>
      </c>
    </row>
    <row r="789" spans="1:4" ht="14.4" customHeight="1" x14ac:dyDescent="0.3">
      <c r="A789" s="1">
        <v>787</v>
      </c>
      <c r="B789">
        <v>205075</v>
      </c>
      <c r="C789">
        <v>208624</v>
      </c>
      <c r="D789" s="1">
        <v>0</v>
      </c>
    </row>
    <row r="790" spans="1:4" ht="14.4" customHeight="1" x14ac:dyDescent="0.3">
      <c r="A790" s="1">
        <v>788</v>
      </c>
      <c r="B790">
        <v>205075</v>
      </c>
      <c r="C790">
        <v>207259</v>
      </c>
      <c r="D790" s="1">
        <v>0</v>
      </c>
    </row>
    <row r="791" spans="1:4" ht="14.4" customHeight="1" x14ac:dyDescent="0.3">
      <c r="A791" s="1">
        <v>789</v>
      </c>
      <c r="B791">
        <v>205075</v>
      </c>
      <c r="C791">
        <v>208777</v>
      </c>
      <c r="D791" s="1">
        <v>0</v>
      </c>
    </row>
    <row r="792" spans="1:4" ht="14.4" customHeight="1" x14ac:dyDescent="0.3">
      <c r="A792" s="1">
        <v>790</v>
      </c>
      <c r="B792">
        <v>206937</v>
      </c>
      <c r="C792">
        <v>207758</v>
      </c>
      <c r="D792" s="1">
        <v>0</v>
      </c>
    </row>
    <row r="793" spans="1:4" ht="14.4" customHeight="1" x14ac:dyDescent="0.3">
      <c r="A793" s="1">
        <v>791</v>
      </c>
      <c r="B793">
        <v>206937</v>
      </c>
      <c r="C793">
        <v>208043</v>
      </c>
      <c r="D793" s="1">
        <v>0</v>
      </c>
    </row>
    <row r="794" spans="1:4" ht="14.4" customHeight="1" x14ac:dyDescent="0.3">
      <c r="A794" s="1">
        <v>792</v>
      </c>
      <c r="B794">
        <v>206937</v>
      </c>
      <c r="C794">
        <v>206905</v>
      </c>
      <c r="D794" s="1">
        <v>0</v>
      </c>
    </row>
    <row r="795" spans="1:4" ht="14.4" customHeight="1" x14ac:dyDescent="0.3">
      <c r="A795" s="1">
        <v>793</v>
      </c>
      <c r="B795">
        <v>206937</v>
      </c>
      <c r="C795">
        <v>222044</v>
      </c>
      <c r="D795" s="1">
        <v>0</v>
      </c>
    </row>
    <row r="796" spans="1:4" ht="14.4" customHeight="1" x14ac:dyDescent="0.3">
      <c r="A796" s="1">
        <v>794</v>
      </c>
      <c r="B796">
        <v>206937</v>
      </c>
      <c r="C796">
        <v>206770</v>
      </c>
      <c r="D796" s="1">
        <v>0</v>
      </c>
    </row>
    <row r="797" spans="1:4" ht="14.4" customHeight="1" x14ac:dyDescent="0.3">
      <c r="A797" s="1">
        <v>795</v>
      </c>
      <c r="B797">
        <v>206937</v>
      </c>
      <c r="C797">
        <v>206841</v>
      </c>
      <c r="D797" s="1">
        <v>0</v>
      </c>
    </row>
    <row r="798" spans="1:4" ht="14.4" customHeight="1" x14ac:dyDescent="0.3">
      <c r="A798" s="1">
        <v>796</v>
      </c>
      <c r="B798">
        <v>206937</v>
      </c>
      <c r="C798">
        <v>209266</v>
      </c>
      <c r="D798" s="1">
        <v>0</v>
      </c>
    </row>
    <row r="799" spans="1:4" ht="14.4" customHeight="1" x14ac:dyDescent="0.3">
      <c r="A799" s="1">
        <v>797</v>
      </c>
      <c r="B799">
        <v>206937</v>
      </c>
      <c r="C799">
        <v>232847</v>
      </c>
      <c r="D799" s="1">
        <v>0</v>
      </c>
    </row>
    <row r="800" spans="1:4" ht="14.4" customHeight="1" x14ac:dyDescent="0.3">
      <c r="A800" s="1">
        <v>798</v>
      </c>
      <c r="B800">
        <v>206937</v>
      </c>
      <c r="C800">
        <v>209136</v>
      </c>
      <c r="D800" s="1">
        <v>0</v>
      </c>
    </row>
    <row r="801" spans="1:4" ht="14.4" customHeight="1" x14ac:dyDescent="0.3">
      <c r="A801" s="1">
        <v>799</v>
      </c>
      <c r="B801">
        <v>206937</v>
      </c>
      <c r="C801">
        <v>207077</v>
      </c>
      <c r="D801" s="1">
        <v>0</v>
      </c>
    </row>
    <row r="802" spans="1:4" ht="14.4" customHeight="1" x14ac:dyDescent="0.3">
      <c r="A802" s="1">
        <v>800</v>
      </c>
      <c r="B802">
        <v>206937</v>
      </c>
      <c r="C802">
        <v>206148</v>
      </c>
      <c r="D802" s="1">
        <v>0</v>
      </c>
    </row>
    <row r="803" spans="1:4" ht="14.4" customHeight="1" x14ac:dyDescent="0.3">
      <c r="A803" s="1">
        <v>801</v>
      </c>
      <c r="B803">
        <v>206937</v>
      </c>
      <c r="C803">
        <v>208776</v>
      </c>
      <c r="D803" s="1">
        <v>0</v>
      </c>
    </row>
    <row r="804" spans="1:4" ht="14.4" customHeight="1" x14ac:dyDescent="0.3">
      <c r="A804" s="1">
        <v>802</v>
      </c>
      <c r="B804">
        <v>206937</v>
      </c>
      <c r="C804">
        <v>205551</v>
      </c>
      <c r="D804" s="1">
        <v>0</v>
      </c>
    </row>
    <row r="805" spans="1:4" ht="14.4" customHeight="1" x14ac:dyDescent="0.3">
      <c r="A805" s="1">
        <v>803</v>
      </c>
      <c r="B805">
        <v>206937</v>
      </c>
      <c r="C805">
        <v>208485</v>
      </c>
      <c r="D805" s="1">
        <v>0</v>
      </c>
    </row>
    <row r="806" spans="1:4" ht="14.4" customHeight="1" x14ac:dyDescent="0.3">
      <c r="A806" s="1">
        <v>804</v>
      </c>
      <c r="B806">
        <v>206937</v>
      </c>
      <c r="C806">
        <v>206280</v>
      </c>
      <c r="D806" s="1">
        <v>0</v>
      </c>
    </row>
    <row r="807" spans="1:4" ht="14.4" customHeight="1" x14ac:dyDescent="0.3">
      <c r="A807" s="1">
        <v>805</v>
      </c>
      <c r="B807">
        <v>206937</v>
      </c>
      <c r="C807">
        <v>205750</v>
      </c>
      <c r="D807" s="1">
        <v>0</v>
      </c>
    </row>
    <row r="808" spans="1:4" ht="14.4" customHeight="1" x14ac:dyDescent="0.3">
      <c r="A808" s="1">
        <v>806</v>
      </c>
      <c r="B808">
        <v>206937</v>
      </c>
      <c r="C808">
        <v>208622</v>
      </c>
      <c r="D808" s="1">
        <v>0</v>
      </c>
    </row>
    <row r="809" spans="1:4" ht="14.4" customHeight="1" x14ac:dyDescent="0.3">
      <c r="A809" s="1">
        <v>807</v>
      </c>
      <c r="B809">
        <v>206937</v>
      </c>
      <c r="C809">
        <v>208657</v>
      </c>
      <c r="D809" s="1">
        <v>0</v>
      </c>
    </row>
    <row r="810" spans="1:4" ht="14.4" customHeight="1" x14ac:dyDescent="0.3">
      <c r="A810" s="1">
        <v>808</v>
      </c>
      <c r="B810">
        <v>206937</v>
      </c>
      <c r="C810">
        <v>209385</v>
      </c>
      <c r="D810" s="1">
        <v>0</v>
      </c>
    </row>
    <row r="811" spans="1:4" ht="14.4" customHeight="1" x14ac:dyDescent="0.3">
      <c r="A811" s="1">
        <v>809</v>
      </c>
      <c r="B811">
        <v>206937</v>
      </c>
      <c r="C811">
        <v>205505</v>
      </c>
      <c r="D811" s="1">
        <v>0</v>
      </c>
    </row>
    <row r="812" spans="1:4" ht="14.4" customHeight="1" x14ac:dyDescent="0.3">
      <c r="A812" s="1">
        <v>810</v>
      </c>
      <c r="B812">
        <v>206937</v>
      </c>
      <c r="C812">
        <v>207238</v>
      </c>
      <c r="D812" s="1">
        <v>0</v>
      </c>
    </row>
    <row r="813" spans="1:4" ht="14.4" customHeight="1" x14ac:dyDescent="0.3">
      <c r="A813" s="1">
        <v>811</v>
      </c>
      <c r="B813">
        <v>206937</v>
      </c>
      <c r="C813">
        <v>207561</v>
      </c>
      <c r="D813" s="1">
        <v>0</v>
      </c>
    </row>
    <row r="814" spans="1:4" ht="14.4" customHeight="1" x14ac:dyDescent="0.3">
      <c r="A814" s="1">
        <v>812</v>
      </c>
      <c r="B814">
        <v>206937</v>
      </c>
      <c r="C814">
        <v>206872</v>
      </c>
      <c r="D814" s="1">
        <v>0</v>
      </c>
    </row>
    <row r="815" spans="1:4" ht="14.4" customHeight="1" x14ac:dyDescent="0.3">
      <c r="A815" s="1">
        <v>813</v>
      </c>
      <c r="B815">
        <v>206937</v>
      </c>
      <c r="C815">
        <v>208511</v>
      </c>
      <c r="D815" s="1">
        <v>0</v>
      </c>
    </row>
    <row r="816" spans="1:4" ht="14.4" customHeight="1" x14ac:dyDescent="0.3">
      <c r="A816" s="1">
        <v>814</v>
      </c>
      <c r="B816">
        <v>206937</v>
      </c>
      <c r="C816">
        <v>222031</v>
      </c>
      <c r="D816" s="1">
        <v>0</v>
      </c>
    </row>
    <row r="817" spans="1:4" ht="14.4" customHeight="1" x14ac:dyDescent="0.3">
      <c r="A817" s="1">
        <v>815</v>
      </c>
      <c r="B817">
        <v>206937</v>
      </c>
      <c r="C817">
        <v>209491</v>
      </c>
      <c r="D817" s="1">
        <v>0</v>
      </c>
    </row>
    <row r="818" spans="1:4" ht="14.4" customHeight="1" x14ac:dyDescent="0.3">
      <c r="A818" s="1">
        <v>816</v>
      </c>
      <c r="B818">
        <v>206937</v>
      </c>
      <c r="C818">
        <v>208624</v>
      </c>
      <c r="D818" s="1">
        <v>0</v>
      </c>
    </row>
    <row r="819" spans="1:4" ht="14.4" customHeight="1" x14ac:dyDescent="0.3">
      <c r="A819" s="1">
        <v>817</v>
      </c>
      <c r="B819">
        <v>206937</v>
      </c>
      <c r="C819">
        <v>207259</v>
      </c>
      <c r="D819" s="1">
        <v>0</v>
      </c>
    </row>
    <row r="820" spans="1:4" ht="14.4" customHeight="1" x14ac:dyDescent="0.3">
      <c r="A820" s="1">
        <v>818</v>
      </c>
      <c r="B820">
        <v>206937</v>
      </c>
      <c r="C820">
        <v>208777</v>
      </c>
      <c r="D820" s="1">
        <v>0</v>
      </c>
    </row>
    <row r="821" spans="1:4" ht="14.4" customHeight="1" x14ac:dyDescent="0.3">
      <c r="A821" s="1">
        <v>819</v>
      </c>
      <c r="B821">
        <v>207758</v>
      </c>
      <c r="C821">
        <v>208043</v>
      </c>
      <c r="D821" s="1">
        <v>5</v>
      </c>
    </row>
    <row r="822" spans="1:4" ht="14.4" customHeight="1" x14ac:dyDescent="0.3">
      <c r="A822" s="1">
        <v>820</v>
      </c>
      <c r="B822">
        <v>207758</v>
      </c>
      <c r="C822">
        <v>206905</v>
      </c>
      <c r="D822" s="1">
        <v>4</v>
      </c>
    </row>
    <row r="823" spans="1:4" ht="14.4" customHeight="1" x14ac:dyDescent="0.3">
      <c r="A823" s="1">
        <v>821</v>
      </c>
      <c r="B823">
        <v>207758</v>
      </c>
      <c r="C823">
        <v>222044</v>
      </c>
      <c r="D823" s="1">
        <v>0</v>
      </c>
    </row>
    <row r="824" spans="1:4" ht="14.4" customHeight="1" x14ac:dyDescent="0.3">
      <c r="A824" s="1">
        <v>822</v>
      </c>
      <c r="B824">
        <v>207758</v>
      </c>
      <c r="C824">
        <v>206770</v>
      </c>
      <c r="D824" s="1">
        <v>0</v>
      </c>
    </row>
    <row r="825" spans="1:4" ht="14.4" customHeight="1" x14ac:dyDescent="0.3">
      <c r="A825" s="1">
        <v>823</v>
      </c>
      <c r="B825">
        <v>207758</v>
      </c>
      <c r="C825">
        <v>206841</v>
      </c>
      <c r="D825" s="1">
        <v>4</v>
      </c>
    </row>
    <row r="826" spans="1:4" ht="14.4" customHeight="1" x14ac:dyDescent="0.3">
      <c r="A826" s="1">
        <v>824</v>
      </c>
      <c r="B826">
        <v>207758</v>
      </c>
      <c r="C826">
        <v>209266</v>
      </c>
      <c r="D826" s="1">
        <v>0</v>
      </c>
    </row>
    <row r="827" spans="1:4" ht="14.4" customHeight="1" x14ac:dyDescent="0.3">
      <c r="A827" s="1">
        <v>825</v>
      </c>
      <c r="B827">
        <v>207758</v>
      </c>
      <c r="C827">
        <v>232847</v>
      </c>
      <c r="D827" s="1">
        <v>0</v>
      </c>
    </row>
    <row r="828" spans="1:4" ht="14.4" customHeight="1" x14ac:dyDescent="0.3">
      <c r="A828" s="1">
        <v>826</v>
      </c>
      <c r="B828">
        <v>207758</v>
      </c>
      <c r="C828">
        <v>209136</v>
      </c>
      <c r="D828" s="1">
        <v>0</v>
      </c>
    </row>
    <row r="829" spans="1:4" ht="14.4" customHeight="1" x14ac:dyDescent="0.3">
      <c r="A829" s="1">
        <v>827</v>
      </c>
      <c r="B829">
        <v>207758</v>
      </c>
      <c r="C829">
        <v>207077</v>
      </c>
      <c r="D829" s="1">
        <v>0</v>
      </c>
    </row>
    <row r="830" spans="1:4" ht="14.4" customHeight="1" x14ac:dyDescent="0.3">
      <c r="A830" s="1">
        <v>828</v>
      </c>
      <c r="B830">
        <v>207758</v>
      </c>
      <c r="C830">
        <v>206148</v>
      </c>
      <c r="D830" s="1">
        <v>0</v>
      </c>
    </row>
    <row r="831" spans="1:4" ht="14.4" customHeight="1" x14ac:dyDescent="0.3">
      <c r="A831" s="1">
        <v>829</v>
      </c>
      <c r="B831">
        <v>207758</v>
      </c>
      <c r="C831">
        <v>208776</v>
      </c>
      <c r="D831" s="1">
        <v>0</v>
      </c>
    </row>
    <row r="832" spans="1:4" ht="14.4" customHeight="1" x14ac:dyDescent="0.3">
      <c r="A832" s="1">
        <v>830</v>
      </c>
      <c r="B832">
        <v>207758</v>
      </c>
      <c r="C832">
        <v>205551</v>
      </c>
      <c r="D832" s="1">
        <v>0</v>
      </c>
    </row>
    <row r="833" spans="1:4" ht="14.4" customHeight="1" x14ac:dyDescent="0.3">
      <c r="A833" s="1">
        <v>831</v>
      </c>
      <c r="B833">
        <v>207758</v>
      </c>
      <c r="C833">
        <v>208485</v>
      </c>
      <c r="D833" s="1">
        <v>0</v>
      </c>
    </row>
    <row r="834" spans="1:4" ht="14.4" customHeight="1" x14ac:dyDescent="0.3">
      <c r="A834" s="1">
        <v>832</v>
      </c>
      <c r="B834">
        <v>207758</v>
      </c>
      <c r="C834">
        <v>206280</v>
      </c>
      <c r="D834" s="1">
        <v>0</v>
      </c>
    </row>
    <row r="835" spans="1:4" ht="14.4" customHeight="1" x14ac:dyDescent="0.3">
      <c r="A835" s="1">
        <v>833</v>
      </c>
      <c r="B835">
        <v>207758</v>
      </c>
      <c r="C835">
        <v>205750</v>
      </c>
      <c r="D835" s="1">
        <v>0</v>
      </c>
    </row>
    <row r="836" spans="1:4" ht="14.4" customHeight="1" x14ac:dyDescent="0.3">
      <c r="A836" s="1">
        <v>834</v>
      </c>
      <c r="B836">
        <v>207758</v>
      </c>
      <c r="C836">
        <v>208622</v>
      </c>
      <c r="D836" s="1">
        <v>0</v>
      </c>
    </row>
    <row r="837" spans="1:4" ht="14.4" customHeight="1" x14ac:dyDescent="0.3">
      <c r="A837" s="1">
        <v>835</v>
      </c>
      <c r="B837">
        <v>207758</v>
      </c>
      <c r="C837">
        <v>208657</v>
      </c>
      <c r="D837" s="1">
        <v>0</v>
      </c>
    </row>
    <row r="838" spans="1:4" ht="14.4" customHeight="1" x14ac:dyDescent="0.3">
      <c r="A838" s="1">
        <v>836</v>
      </c>
      <c r="B838">
        <v>207758</v>
      </c>
      <c r="C838">
        <v>209385</v>
      </c>
      <c r="D838" s="1">
        <v>0</v>
      </c>
    </row>
    <row r="839" spans="1:4" ht="14.4" customHeight="1" x14ac:dyDescent="0.3">
      <c r="A839" s="1">
        <v>837</v>
      </c>
      <c r="B839">
        <v>207758</v>
      </c>
      <c r="C839">
        <v>205505</v>
      </c>
      <c r="D839" s="1">
        <v>0</v>
      </c>
    </row>
    <row r="840" spans="1:4" ht="14.4" customHeight="1" x14ac:dyDescent="0.3">
      <c r="A840" s="1">
        <v>838</v>
      </c>
      <c r="B840">
        <v>207758</v>
      </c>
      <c r="C840">
        <v>207238</v>
      </c>
      <c r="D840" s="1">
        <v>0</v>
      </c>
    </row>
    <row r="841" spans="1:4" ht="14.4" customHeight="1" x14ac:dyDescent="0.3">
      <c r="A841" s="1">
        <v>839</v>
      </c>
      <c r="B841">
        <v>207758</v>
      </c>
      <c r="C841">
        <v>207561</v>
      </c>
      <c r="D841" s="1">
        <v>0</v>
      </c>
    </row>
    <row r="842" spans="1:4" ht="14.4" customHeight="1" x14ac:dyDescent="0.3">
      <c r="A842" s="1">
        <v>840</v>
      </c>
      <c r="B842">
        <v>207758</v>
      </c>
      <c r="C842">
        <v>206872</v>
      </c>
      <c r="D842" s="1">
        <v>0</v>
      </c>
    </row>
    <row r="843" spans="1:4" ht="14.4" customHeight="1" x14ac:dyDescent="0.3">
      <c r="A843" s="1">
        <v>841</v>
      </c>
      <c r="B843">
        <v>207758</v>
      </c>
      <c r="C843">
        <v>208511</v>
      </c>
      <c r="D843" s="1">
        <v>0</v>
      </c>
    </row>
    <row r="844" spans="1:4" ht="14.4" customHeight="1" x14ac:dyDescent="0.3">
      <c r="A844" s="1">
        <v>842</v>
      </c>
      <c r="B844">
        <v>207758</v>
      </c>
      <c r="C844">
        <v>222031</v>
      </c>
      <c r="D844" s="1">
        <v>0</v>
      </c>
    </row>
    <row r="845" spans="1:4" ht="14.4" customHeight="1" x14ac:dyDescent="0.3">
      <c r="A845" s="1">
        <v>843</v>
      </c>
      <c r="B845">
        <v>207758</v>
      </c>
      <c r="C845">
        <v>209491</v>
      </c>
      <c r="D845" s="1">
        <v>0</v>
      </c>
    </row>
    <row r="846" spans="1:4" ht="14.4" customHeight="1" x14ac:dyDescent="0.3">
      <c r="A846" s="1">
        <v>844</v>
      </c>
      <c r="B846">
        <v>207758</v>
      </c>
      <c r="C846">
        <v>208624</v>
      </c>
      <c r="D846" s="1">
        <v>0</v>
      </c>
    </row>
    <row r="847" spans="1:4" ht="14.4" customHeight="1" x14ac:dyDescent="0.3">
      <c r="A847" s="1">
        <v>845</v>
      </c>
      <c r="B847">
        <v>207758</v>
      </c>
      <c r="C847">
        <v>207259</v>
      </c>
      <c r="D847" s="1">
        <v>0</v>
      </c>
    </row>
    <row r="848" spans="1:4" ht="14.4" customHeight="1" x14ac:dyDescent="0.3">
      <c r="A848" s="1">
        <v>846</v>
      </c>
      <c r="B848">
        <v>207758</v>
      </c>
      <c r="C848">
        <v>208777</v>
      </c>
      <c r="D848" s="1">
        <v>0</v>
      </c>
    </row>
    <row r="849" spans="1:4" ht="14.4" customHeight="1" x14ac:dyDescent="0.3">
      <c r="A849" s="1">
        <v>847</v>
      </c>
      <c r="B849">
        <v>208043</v>
      </c>
      <c r="C849">
        <v>206905</v>
      </c>
      <c r="D849" s="1">
        <v>4</v>
      </c>
    </row>
    <row r="850" spans="1:4" ht="14.4" customHeight="1" x14ac:dyDescent="0.3">
      <c r="A850" s="1">
        <v>848</v>
      </c>
      <c r="B850">
        <v>208043</v>
      </c>
      <c r="C850">
        <v>222044</v>
      </c>
      <c r="D850" s="1">
        <v>0</v>
      </c>
    </row>
    <row r="851" spans="1:4" ht="14.4" customHeight="1" x14ac:dyDescent="0.3">
      <c r="A851" s="1">
        <v>849</v>
      </c>
      <c r="B851">
        <v>208043</v>
      </c>
      <c r="C851">
        <v>206770</v>
      </c>
      <c r="D851" s="1">
        <v>0</v>
      </c>
    </row>
    <row r="852" spans="1:4" ht="14.4" customHeight="1" x14ac:dyDescent="0.3">
      <c r="A852" s="1">
        <v>850</v>
      </c>
      <c r="B852">
        <v>208043</v>
      </c>
      <c r="C852">
        <v>206841</v>
      </c>
      <c r="D852" s="1">
        <v>4</v>
      </c>
    </row>
    <row r="853" spans="1:4" ht="14.4" customHeight="1" x14ac:dyDescent="0.3">
      <c r="A853" s="1">
        <v>851</v>
      </c>
      <c r="B853">
        <v>208043</v>
      </c>
      <c r="C853">
        <v>209266</v>
      </c>
      <c r="D853" s="1">
        <v>0</v>
      </c>
    </row>
    <row r="854" spans="1:4" ht="14.4" customHeight="1" x14ac:dyDescent="0.3">
      <c r="A854" s="1">
        <v>852</v>
      </c>
      <c r="B854">
        <v>208043</v>
      </c>
      <c r="C854">
        <v>232847</v>
      </c>
      <c r="D854" s="1">
        <v>0</v>
      </c>
    </row>
    <row r="855" spans="1:4" ht="14.4" customHeight="1" x14ac:dyDescent="0.3">
      <c r="A855" s="1">
        <v>853</v>
      </c>
      <c r="B855">
        <v>208043</v>
      </c>
      <c r="C855">
        <v>209136</v>
      </c>
      <c r="D855" s="1">
        <v>0</v>
      </c>
    </row>
    <row r="856" spans="1:4" ht="14.4" customHeight="1" x14ac:dyDescent="0.3">
      <c r="A856" s="1">
        <v>854</v>
      </c>
      <c r="B856">
        <v>208043</v>
      </c>
      <c r="C856">
        <v>207077</v>
      </c>
      <c r="D856" s="1">
        <v>0</v>
      </c>
    </row>
    <row r="857" spans="1:4" ht="14.4" customHeight="1" x14ac:dyDescent="0.3">
      <c r="A857" s="1">
        <v>855</v>
      </c>
      <c r="B857">
        <v>208043</v>
      </c>
      <c r="C857">
        <v>206148</v>
      </c>
      <c r="D857" s="1">
        <v>0</v>
      </c>
    </row>
    <row r="858" spans="1:4" ht="14.4" customHeight="1" x14ac:dyDescent="0.3">
      <c r="A858" s="1">
        <v>856</v>
      </c>
      <c r="B858">
        <v>208043</v>
      </c>
      <c r="C858">
        <v>208776</v>
      </c>
      <c r="D858" s="1">
        <v>0</v>
      </c>
    </row>
    <row r="859" spans="1:4" ht="14.4" customHeight="1" x14ac:dyDescent="0.3">
      <c r="A859" s="1">
        <v>857</v>
      </c>
      <c r="B859">
        <v>208043</v>
      </c>
      <c r="C859">
        <v>205551</v>
      </c>
      <c r="D859" s="1">
        <v>0</v>
      </c>
    </row>
    <row r="860" spans="1:4" ht="14.4" customHeight="1" x14ac:dyDescent="0.3">
      <c r="A860" s="1">
        <v>858</v>
      </c>
      <c r="B860">
        <v>208043</v>
      </c>
      <c r="C860">
        <v>208485</v>
      </c>
      <c r="D860" s="1">
        <v>0</v>
      </c>
    </row>
    <row r="861" spans="1:4" ht="14.4" customHeight="1" x14ac:dyDescent="0.3">
      <c r="A861" s="1">
        <v>859</v>
      </c>
      <c r="B861">
        <v>208043</v>
      </c>
      <c r="C861">
        <v>206280</v>
      </c>
      <c r="D861" s="1">
        <v>0</v>
      </c>
    </row>
    <row r="862" spans="1:4" ht="14.4" customHeight="1" x14ac:dyDescent="0.3">
      <c r="A862" s="1">
        <v>860</v>
      </c>
      <c r="B862">
        <v>208043</v>
      </c>
      <c r="C862">
        <v>205750</v>
      </c>
      <c r="D862" s="1">
        <v>0</v>
      </c>
    </row>
    <row r="863" spans="1:4" ht="14.4" customHeight="1" x14ac:dyDescent="0.3">
      <c r="A863" s="1">
        <v>861</v>
      </c>
      <c r="B863">
        <v>208043</v>
      </c>
      <c r="C863">
        <v>208622</v>
      </c>
      <c r="D863" s="1">
        <v>0</v>
      </c>
    </row>
    <row r="864" spans="1:4" ht="14.4" customHeight="1" x14ac:dyDescent="0.3">
      <c r="A864" s="1">
        <v>862</v>
      </c>
      <c r="B864">
        <v>208043</v>
      </c>
      <c r="C864">
        <v>208657</v>
      </c>
      <c r="D864" s="1">
        <v>0</v>
      </c>
    </row>
    <row r="865" spans="1:4" ht="14.4" customHeight="1" x14ac:dyDescent="0.3">
      <c r="A865" s="1">
        <v>863</v>
      </c>
      <c r="B865">
        <v>208043</v>
      </c>
      <c r="C865">
        <v>209385</v>
      </c>
      <c r="D865" s="1">
        <v>0</v>
      </c>
    </row>
    <row r="866" spans="1:4" ht="14.4" customHeight="1" x14ac:dyDescent="0.3">
      <c r="A866" s="1">
        <v>864</v>
      </c>
      <c r="B866">
        <v>208043</v>
      </c>
      <c r="C866">
        <v>205505</v>
      </c>
      <c r="D866" s="1">
        <v>0</v>
      </c>
    </row>
    <row r="867" spans="1:4" ht="14.4" customHeight="1" x14ac:dyDescent="0.3">
      <c r="A867" s="1">
        <v>865</v>
      </c>
      <c r="B867">
        <v>208043</v>
      </c>
      <c r="C867">
        <v>207238</v>
      </c>
      <c r="D867" s="1">
        <v>0</v>
      </c>
    </row>
    <row r="868" spans="1:4" ht="14.4" customHeight="1" x14ac:dyDescent="0.3">
      <c r="A868" s="1">
        <v>866</v>
      </c>
      <c r="B868">
        <v>208043</v>
      </c>
      <c r="C868">
        <v>207561</v>
      </c>
      <c r="D868" s="1">
        <v>0</v>
      </c>
    </row>
    <row r="869" spans="1:4" ht="14.4" customHeight="1" x14ac:dyDescent="0.3">
      <c r="A869" s="1">
        <v>867</v>
      </c>
      <c r="B869">
        <v>208043</v>
      </c>
      <c r="C869">
        <v>206872</v>
      </c>
      <c r="D869" s="1">
        <v>0</v>
      </c>
    </row>
    <row r="870" spans="1:4" ht="14.4" customHeight="1" x14ac:dyDescent="0.3">
      <c r="A870" s="1">
        <v>868</v>
      </c>
      <c r="B870">
        <v>208043</v>
      </c>
      <c r="C870">
        <v>208511</v>
      </c>
      <c r="D870" s="1">
        <v>0</v>
      </c>
    </row>
    <row r="871" spans="1:4" ht="14.4" customHeight="1" x14ac:dyDescent="0.3">
      <c r="A871" s="1">
        <v>869</v>
      </c>
      <c r="B871">
        <v>208043</v>
      </c>
      <c r="C871">
        <v>222031</v>
      </c>
      <c r="D871" s="1">
        <v>0</v>
      </c>
    </row>
    <row r="872" spans="1:4" ht="14.4" customHeight="1" x14ac:dyDescent="0.3">
      <c r="A872" s="1">
        <v>870</v>
      </c>
      <c r="B872">
        <v>208043</v>
      </c>
      <c r="C872">
        <v>209491</v>
      </c>
      <c r="D872" s="1">
        <v>0</v>
      </c>
    </row>
    <row r="873" spans="1:4" ht="14.4" customHeight="1" x14ac:dyDescent="0.3">
      <c r="A873" s="1">
        <v>871</v>
      </c>
      <c r="B873">
        <v>208043</v>
      </c>
      <c r="C873">
        <v>208624</v>
      </c>
      <c r="D873" s="1">
        <v>0</v>
      </c>
    </row>
    <row r="874" spans="1:4" ht="14.4" customHeight="1" x14ac:dyDescent="0.3">
      <c r="A874" s="1">
        <v>872</v>
      </c>
      <c r="B874">
        <v>208043</v>
      </c>
      <c r="C874">
        <v>207259</v>
      </c>
      <c r="D874" s="1">
        <v>0</v>
      </c>
    </row>
    <row r="875" spans="1:4" ht="14.4" customHeight="1" x14ac:dyDescent="0.3">
      <c r="A875" s="1">
        <v>873</v>
      </c>
      <c r="B875">
        <v>208043</v>
      </c>
      <c r="C875">
        <v>208777</v>
      </c>
      <c r="D875" s="1">
        <v>0</v>
      </c>
    </row>
    <row r="876" spans="1:4" ht="14.4" customHeight="1" x14ac:dyDescent="0.3">
      <c r="A876" s="1">
        <v>874</v>
      </c>
      <c r="B876">
        <v>206905</v>
      </c>
      <c r="C876">
        <v>222044</v>
      </c>
      <c r="D876" s="1">
        <v>0</v>
      </c>
    </row>
    <row r="877" spans="1:4" ht="14.4" customHeight="1" x14ac:dyDescent="0.3">
      <c r="A877" s="1">
        <v>875</v>
      </c>
      <c r="B877">
        <v>206905</v>
      </c>
      <c r="C877">
        <v>206770</v>
      </c>
      <c r="D877" s="1">
        <v>0</v>
      </c>
    </row>
    <row r="878" spans="1:4" ht="14.4" customHeight="1" x14ac:dyDescent="0.3">
      <c r="A878" s="1">
        <v>876</v>
      </c>
      <c r="B878">
        <v>206905</v>
      </c>
      <c r="C878">
        <v>206841</v>
      </c>
      <c r="D878" s="1">
        <v>5</v>
      </c>
    </row>
    <row r="879" spans="1:4" ht="14.4" customHeight="1" x14ac:dyDescent="0.3">
      <c r="A879" s="1">
        <v>877</v>
      </c>
      <c r="B879">
        <v>206905</v>
      </c>
      <c r="C879">
        <v>209266</v>
      </c>
      <c r="D879" s="1">
        <v>0</v>
      </c>
    </row>
    <row r="880" spans="1:4" ht="14.4" customHeight="1" x14ac:dyDescent="0.3">
      <c r="A880" s="1">
        <v>878</v>
      </c>
      <c r="B880">
        <v>206905</v>
      </c>
      <c r="C880">
        <v>232847</v>
      </c>
      <c r="D880" s="1">
        <v>0</v>
      </c>
    </row>
    <row r="881" spans="1:4" ht="14.4" customHeight="1" x14ac:dyDescent="0.3">
      <c r="A881" s="1">
        <v>879</v>
      </c>
      <c r="B881">
        <v>206905</v>
      </c>
      <c r="C881">
        <v>209136</v>
      </c>
      <c r="D881" s="1">
        <v>3</v>
      </c>
    </row>
    <row r="882" spans="1:4" ht="14.4" customHeight="1" x14ac:dyDescent="0.3">
      <c r="A882" s="1">
        <v>880</v>
      </c>
      <c r="B882">
        <v>206905</v>
      </c>
      <c r="C882">
        <v>207077</v>
      </c>
      <c r="D882" s="1">
        <v>0</v>
      </c>
    </row>
    <row r="883" spans="1:4" ht="14.4" customHeight="1" x14ac:dyDescent="0.3">
      <c r="A883" s="1">
        <v>881</v>
      </c>
      <c r="B883">
        <v>206905</v>
      </c>
      <c r="C883">
        <v>206148</v>
      </c>
      <c r="D883" s="1">
        <v>0</v>
      </c>
    </row>
    <row r="884" spans="1:4" ht="14.4" customHeight="1" x14ac:dyDescent="0.3">
      <c r="A884" s="1">
        <v>882</v>
      </c>
      <c r="B884">
        <v>206905</v>
      </c>
      <c r="C884">
        <v>208776</v>
      </c>
      <c r="D884" s="1">
        <v>0</v>
      </c>
    </row>
    <row r="885" spans="1:4" ht="14.4" customHeight="1" x14ac:dyDescent="0.3">
      <c r="A885" s="1">
        <v>883</v>
      </c>
      <c r="B885">
        <v>206905</v>
      </c>
      <c r="C885">
        <v>205551</v>
      </c>
      <c r="D885" s="1">
        <v>0</v>
      </c>
    </row>
    <row r="886" spans="1:4" ht="14.4" customHeight="1" x14ac:dyDescent="0.3">
      <c r="A886" s="1">
        <v>884</v>
      </c>
      <c r="B886">
        <v>206905</v>
      </c>
      <c r="C886">
        <v>208485</v>
      </c>
      <c r="D886" s="1">
        <v>0</v>
      </c>
    </row>
    <row r="887" spans="1:4" ht="14.4" customHeight="1" x14ac:dyDescent="0.3">
      <c r="A887" s="1">
        <v>885</v>
      </c>
      <c r="B887">
        <v>206905</v>
      </c>
      <c r="C887">
        <v>206280</v>
      </c>
      <c r="D887" s="1">
        <v>0</v>
      </c>
    </row>
    <row r="888" spans="1:4" ht="14.4" customHeight="1" x14ac:dyDescent="0.3">
      <c r="A888" s="1">
        <v>886</v>
      </c>
      <c r="B888">
        <v>206905</v>
      </c>
      <c r="C888">
        <v>205750</v>
      </c>
      <c r="D888" s="1">
        <v>0</v>
      </c>
    </row>
    <row r="889" spans="1:4" ht="14.4" customHeight="1" x14ac:dyDescent="0.3">
      <c r="A889" s="1">
        <v>887</v>
      </c>
      <c r="B889">
        <v>206905</v>
      </c>
      <c r="C889">
        <v>208622</v>
      </c>
      <c r="D889" s="1">
        <v>0</v>
      </c>
    </row>
    <row r="890" spans="1:4" ht="14.4" customHeight="1" x14ac:dyDescent="0.3">
      <c r="A890" s="1">
        <v>888</v>
      </c>
      <c r="B890">
        <v>206905</v>
      </c>
      <c r="C890">
        <v>208657</v>
      </c>
      <c r="D890" s="1">
        <v>0</v>
      </c>
    </row>
    <row r="891" spans="1:4" ht="14.4" customHeight="1" x14ac:dyDescent="0.3">
      <c r="A891" s="1">
        <v>889</v>
      </c>
      <c r="B891">
        <v>206905</v>
      </c>
      <c r="C891">
        <v>209385</v>
      </c>
      <c r="D891" s="1">
        <v>0</v>
      </c>
    </row>
    <row r="892" spans="1:4" ht="14.4" customHeight="1" x14ac:dyDescent="0.3">
      <c r="A892" s="1">
        <v>890</v>
      </c>
      <c r="B892">
        <v>206905</v>
      </c>
      <c r="C892">
        <v>205505</v>
      </c>
      <c r="D892" s="1">
        <v>0</v>
      </c>
    </row>
    <row r="893" spans="1:4" ht="14.4" customHeight="1" x14ac:dyDescent="0.3">
      <c r="A893" s="1">
        <v>891</v>
      </c>
      <c r="B893">
        <v>206905</v>
      </c>
      <c r="C893">
        <v>207238</v>
      </c>
      <c r="D893" s="1">
        <v>0</v>
      </c>
    </row>
    <row r="894" spans="1:4" ht="14.4" customHeight="1" x14ac:dyDescent="0.3">
      <c r="A894" s="1">
        <v>892</v>
      </c>
      <c r="B894">
        <v>206905</v>
      </c>
      <c r="C894">
        <v>207561</v>
      </c>
      <c r="D894" s="1">
        <v>1</v>
      </c>
    </row>
    <row r="895" spans="1:4" ht="14.4" customHeight="1" x14ac:dyDescent="0.3">
      <c r="A895" s="1">
        <v>893</v>
      </c>
      <c r="B895">
        <v>206905</v>
      </c>
      <c r="C895">
        <v>206872</v>
      </c>
      <c r="D895" s="1">
        <v>0</v>
      </c>
    </row>
    <row r="896" spans="1:4" ht="14.4" customHeight="1" x14ac:dyDescent="0.3">
      <c r="A896" s="1">
        <v>894</v>
      </c>
      <c r="B896">
        <v>206905</v>
      </c>
      <c r="C896">
        <v>208511</v>
      </c>
      <c r="D896" s="1">
        <v>0</v>
      </c>
    </row>
    <row r="897" spans="1:4" ht="14.4" customHeight="1" x14ac:dyDescent="0.3">
      <c r="A897" s="1">
        <v>895</v>
      </c>
      <c r="B897">
        <v>206905</v>
      </c>
      <c r="C897">
        <v>222031</v>
      </c>
      <c r="D897" s="1">
        <v>0</v>
      </c>
    </row>
    <row r="898" spans="1:4" ht="14.4" customHeight="1" x14ac:dyDescent="0.3">
      <c r="A898" s="1">
        <v>896</v>
      </c>
      <c r="B898">
        <v>206905</v>
      </c>
      <c r="C898">
        <v>209491</v>
      </c>
      <c r="D898" s="1">
        <v>0</v>
      </c>
    </row>
    <row r="899" spans="1:4" ht="14.4" customHeight="1" x14ac:dyDescent="0.3">
      <c r="A899" s="1">
        <v>897</v>
      </c>
      <c r="B899">
        <v>206905</v>
      </c>
      <c r="C899">
        <v>208624</v>
      </c>
      <c r="D899" s="1">
        <v>0</v>
      </c>
    </row>
    <row r="900" spans="1:4" ht="14.4" customHeight="1" x14ac:dyDescent="0.3">
      <c r="A900" s="1">
        <v>898</v>
      </c>
      <c r="B900">
        <v>206905</v>
      </c>
      <c r="C900">
        <v>207259</v>
      </c>
      <c r="D900" s="1">
        <v>1</v>
      </c>
    </row>
    <row r="901" spans="1:4" ht="14.4" customHeight="1" x14ac:dyDescent="0.3">
      <c r="A901" s="1">
        <v>899</v>
      </c>
      <c r="B901">
        <v>206905</v>
      </c>
      <c r="C901">
        <v>208777</v>
      </c>
      <c r="D901" s="1">
        <v>0</v>
      </c>
    </row>
    <row r="902" spans="1:4" ht="14.4" customHeight="1" x14ac:dyDescent="0.3">
      <c r="A902" s="1">
        <v>900</v>
      </c>
      <c r="B902">
        <v>222044</v>
      </c>
      <c r="C902">
        <v>206770</v>
      </c>
      <c r="D902" s="1">
        <v>0</v>
      </c>
    </row>
    <row r="903" spans="1:4" ht="14.4" customHeight="1" x14ac:dyDescent="0.3">
      <c r="A903" s="1">
        <v>901</v>
      </c>
      <c r="B903">
        <v>222044</v>
      </c>
      <c r="C903">
        <v>206841</v>
      </c>
      <c r="D903" s="1">
        <v>0</v>
      </c>
    </row>
    <row r="904" spans="1:4" ht="14.4" customHeight="1" x14ac:dyDescent="0.3">
      <c r="A904" s="1">
        <v>902</v>
      </c>
      <c r="B904">
        <v>222044</v>
      </c>
      <c r="C904">
        <v>209266</v>
      </c>
      <c r="D904" s="1">
        <v>0</v>
      </c>
    </row>
    <row r="905" spans="1:4" ht="14.4" customHeight="1" x14ac:dyDescent="0.3">
      <c r="A905" s="1">
        <v>903</v>
      </c>
      <c r="B905">
        <v>222044</v>
      </c>
      <c r="C905">
        <v>232847</v>
      </c>
      <c r="D905" s="1">
        <v>0</v>
      </c>
    </row>
    <row r="906" spans="1:4" ht="14.4" customHeight="1" x14ac:dyDescent="0.3">
      <c r="A906" s="1">
        <v>904</v>
      </c>
      <c r="B906">
        <v>222044</v>
      </c>
      <c r="C906">
        <v>209136</v>
      </c>
      <c r="D906" s="1">
        <v>0</v>
      </c>
    </row>
    <row r="907" spans="1:4" ht="14.4" customHeight="1" x14ac:dyDescent="0.3">
      <c r="A907" s="1">
        <v>905</v>
      </c>
      <c r="B907">
        <v>222044</v>
      </c>
      <c r="C907">
        <v>207077</v>
      </c>
      <c r="D907" s="1">
        <v>0</v>
      </c>
    </row>
    <row r="908" spans="1:4" ht="14.4" customHeight="1" x14ac:dyDescent="0.3">
      <c r="A908" s="1">
        <v>906</v>
      </c>
      <c r="B908">
        <v>222044</v>
      </c>
      <c r="C908">
        <v>206148</v>
      </c>
      <c r="D908" s="1">
        <v>0</v>
      </c>
    </row>
    <row r="909" spans="1:4" ht="14.4" customHeight="1" x14ac:dyDescent="0.3">
      <c r="A909" s="1">
        <v>907</v>
      </c>
      <c r="B909">
        <v>222044</v>
      </c>
      <c r="C909">
        <v>208776</v>
      </c>
      <c r="D909" s="1">
        <v>0</v>
      </c>
    </row>
    <row r="910" spans="1:4" ht="14.4" customHeight="1" x14ac:dyDescent="0.3">
      <c r="A910" s="1">
        <v>908</v>
      </c>
      <c r="B910">
        <v>222044</v>
      </c>
      <c r="C910">
        <v>205551</v>
      </c>
      <c r="D910" s="1">
        <v>0</v>
      </c>
    </row>
    <row r="911" spans="1:4" ht="14.4" customHeight="1" x14ac:dyDescent="0.3">
      <c r="A911" s="1">
        <v>909</v>
      </c>
      <c r="B911">
        <v>222044</v>
      </c>
      <c r="C911">
        <v>208485</v>
      </c>
      <c r="D911" s="1">
        <v>0</v>
      </c>
    </row>
    <row r="912" spans="1:4" ht="14.4" customHeight="1" x14ac:dyDescent="0.3">
      <c r="A912" s="1">
        <v>910</v>
      </c>
      <c r="B912">
        <v>222044</v>
      </c>
      <c r="C912">
        <v>206280</v>
      </c>
      <c r="D912" s="1">
        <v>0</v>
      </c>
    </row>
    <row r="913" spans="1:4" ht="14.4" customHeight="1" x14ac:dyDescent="0.3">
      <c r="A913" s="1">
        <v>911</v>
      </c>
      <c r="B913">
        <v>222044</v>
      </c>
      <c r="C913">
        <v>205750</v>
      </c>
      <c r="D913" s="1">
        <v>0</v>
      </c>
    </row>
    <row r="914" spans="1:4" ht="14.4" customHeight="1" x14ac:dyDescent="0.3">
      <c r="A914" s="1">
        <v>912</v>
      </c>
      <c r="B914">
        <v>222044</v>
      </c>
      <c r="C914">
        <v>208622</v>
      </c>
      <c r="D914" s="1">
        <v>0</v>
      </c>
    </row>
    <row r="915" spans="1:4" ht="14.4" customHeight="1" x14ac:dyDescent="0.3">
      <c r="A915" s="1">
        <v>913</v>
      </c>
      <c r="B915">
        <v>222044</v>
      </c>
      <c r="C915">
        <v>208657</v>
      </c>
      <c r="D915" s="1">
        <v>0</v>
      </c>
    </row>
    <row r="916" spans="1:4" ht="14.4" customHeight="1" x14ac:dyDescent="0.3">
      <c r="A916" s="1">
        <v>914</v>
      </c>
      <c r="B916">
        <v>222044</v>
      </c>
      <c r="C916">
        <v>209385</v>
      </c>
      <c r="D916" s="1">
        <v>0</v>
      </c>
    </row>
    <row r="917" spans="1:4" ht="14.4" customHeight="1" x14ac:dyDescent="0.3">
      <c r="A917" s="1">
        <v>915</v>
      </c>
      <c r="B917">
        <v>222044</v>
      </c>
      <c r="C917">
        <v>205505</v>
      </c>
      <c r="D917" s="1">
        <v>0</v>
      </c>
    </row>
    <row r="918" spans="1:4" ht="14.4" customHeight="1" x14ac:dyDescent="0.3">
      <c r="A918" s="1">
        <v>916</v>
      </c>
      <c r="B918">
        <v>222044</v>
      </c>
      <c r="C918">
        <v>207238</v>
      </c>
      <c r="D918" s="1">
        <v>0</v>
      </c>
    </row>
    <row r="919" spans="1:4" ht="14.4" customHeight="1" x14ac:dyDescent="0.3">
      <c r="A919" s="1">
        <v>917</v>
      </c>
      <c r="B919">
        <v>222044</v>
      </c>
      <c r="C919">
        <v>207561</v>
      </c>
      <c r="D919" s="1">
        <v>0</v>
      </c>
    </row>
    <row r="920" spans="1:4" ht="14.4" customHeight="1" x14ac:dyDescent="0.3">
      <c r="A920" s="1">
        <v>918</v>
      </c>
      <c r="B920">
        <v>222044</v>
      </c>
      <c r="C920">
        <v>206872</v>
      </c>
      <c r="D920" s="1">
        <v>0</v>
      </c>
    </row>
    <row r="921" spans="1:4" ht="14.4" customHeight="1" x14ac:dyDescent="0.3">
      <c r="A921" s="1">
        <v>919</v>
      </c>
      <c r="B921">
        <v>222044</v>
      </c>
      <c r="C921">
        <v>208511</v>
      </c>
      <c r="D921" s="1">
        <v>0</v>
      </c>
    </row>
    <row r="922" spans="1:4" ht="14.4" customHeight="1" x14ac:dyDescent="0.3">
      <c r="A922" s="1">
        <v>920</v>
      </c>
      <c r="B922">
        <v>222044</v>
      </c>
      <c r="C922">
        <v>222031</v>
      </c>
      <c r="D922" s="1">
        <v>0</v>
      </c>
    </row>
    <row r="923" spans="1:4" ht="14.4" customHeight="1" x14ac:dyDescent="0.3">
      <c r="A923" s="1">
        <v>921</v>
      </c>
      <c r="B923">
        <v>222044</v>
      </c>
      <c r="C923">
        <v>209491</v>
      </c>
      <c r="D923" s="1">
        <v>0</v>
      </c>
    </row>
    <row r="924" spans="1:4" ht="14.4" customHeight="1" x14ac:dyDescent="0.3">
      <c r="A924" s="1">
        <v>922</v>
      </c>
      <c r="B924">
        <v>222044</v>
      </c>
      <c r="C924">
        <v>208624</v>
      </c>
      <c r="D924" s="1">
        <v>0</v>
      </c>
    </row>
    <row r="925" spans="1:4" ht="14.4" customHeight="1" x14ac:dyDescent="0.3">
      <c r="A925" s="1">
        <v>923</v>
      </c>
      <c r="B925">
        <v>222044</v>
      </c>
      <c r="C925">
        <v>207259</v>
      </c>
      <c r="D925" s="1">
        <v>0</v>
      </c>
    </row>
    <row r="926" spans="1:4" ht="14.4" customHeight="1" x14ac:dyDescent="0.3">
      <c r="A926" s="1">
        <v>924</v>
      </c>
      <c r="B926">
        <v>222044</v>
      </c>
      <c r="C926">
        <v>208777</v>
      </c>
      <c r="D926" s="1">
        <v>0</v>
      </c>
    </row>
    <row r="927" spans="1:4" ht="14.4" customHeight="1" x14ac:dyDescent="0.3">
      <c r="A927" s="1">
        <v>925</v>
      </c>
      <c r="B927">
        <v>206770</v>
      </c>
      <c r="C927">
        <v>206841</v>
      </c>
      <c r="D927" s="1">
        <v>1</v>
      </c>
    </row>
    <row r="928" spans="1:4" ht="14.4" customHeight="1" x14ac:dyDescent="0.3">
      <c r="A928" s="1">
        <v>926</v>
      </c>
      <c r="B928">
        <v>206770</v>
      </c>
      <c r="C928">
        <v>209266</v>
      </c>
      <c r="D928" s="1">
        <v>0</v>
      </c>
    </row>
    <row r="929" spans="1:4" ht="14.4" customHeight="1" x14ac:dyDescent="0.3">
      <c r="A929" s="1">
        <v>927</v>
      </c>
      <c r="B929">
        <v>206770</v>
      </c>
      <c r="C929">
        <v>232847</v>
      </c>
      <c r="D929" s="1">
        <v>0</v>
      </c>
    </row>
    <row r="930" spans="1:4" ht="14.4" customHeight="1" x14ac:dyDescent="0.3">
      <c r="A930" s="1">
        <v>928</v>
      </c>
      <c r="B930">
        <v>206770</v>
      </c>
      <c r="C930">
        <v>209136</v>
      </c>
      <c r="D930" s="1">
        <v>3</v>
      </c>
    </row>
    <row r="931" spans="1:4" ht="14.4" customHeight="1" x14ac:dyDescent="0.3">
      <c r="A931" s="1">
        <v>929</v>
      </c>
      <c r="B931">
        <v>206770</v>
      </c>
      <c r="C931">
        <v>207077</v>
      </c>
      <c r="D931" s="1">
        <v>0</v>
      </c>
    </row>
    <row r="932" spans="1:4" ht="14.4" customHeight="1" x14ac:dyDescent="0.3">
      <c r="A932" s="1">
        <v>930</v>
      </c>
      <c r="B932">
        <v>206770</v>
      </c>
      <c r="C932">
        <v>206148</v>
      </c>
      <c r="D932" s="1">
        <v>0</v>
      </c>
    </row>
    <row r="933" spans="1:4" ht="14.4" customHeight="1" x14ac:dyDescent="0.3">
      <c r="A933" s="1">
        <v>931</v>
      </c>
      <c r="B933">
        <v>206770</v>
      </c>
      <c r="C933">
        <v>208776</v>
      </c>
      <c r="D933" s="1">
        <v>0</v>
      </c>
    </row>
    <row r="934" spans="1:4" ht="14.4" customHeight="1" x14ac:dyDescent="0.3">
      <c r="A934" s="1">
        <v>932</v>
      </c>
      <c r="B934">
        <v>206770</v>
      </c>
      <c r="C934">
        <v>205551</v>
      </c>
      <c r="D934" s="1">
        <v>0</v>
      </c>
    </row>
    <row r="935" spans="1:4" ht="14.4" customHeight="1" x14ac:dyDescent="0.3">
      <c r="A935" s="1">
        <v>933</v>
      </c>
      <c r="B935">
        <v>206770</v>
      </c>
      <c r="C935">
        <v>208485</v>
      </c>
      <c r="D935" s="1">
        <v>0</v>
      </c>
    </row>
    <row r="936" spans="1:4" ht="14.4" customHeight="1" x14ac:dyDescent="0.3">
      <c r="A936" s="1">
        <v>934</v>
      </c>
      <c r="B936">
        <v>206770</v>
      </c>
      <c r="C936">
        <v>206280</v>
      </c>
      <c r="D936" s="1">
        <v>0</v>
      </c>
    </row>
    <row r="937" spans="1:4" ht="14.4" customHeight="1" x14ac:dyDescent="0.3">
      <c r="A937" s="1">
        <v>935</v>
      </c>
      <c r="B937">
        <v>206770</v>
      </c>
      <c r="C937">
        <v>205750</v>
      </c>
      <c r="D937" s="1">
        <v>0</v>
      </c>
    </row>
    <row r="938" spans="1:4" ht="14.4" customHeight="1" x14ac:dyDescent="0.3">
      <c r="A938" s="1">
        <v>936</v>
      </c>
      <c r="B938">
        <v>206770</v>
      </c>
      <c r="C938">
        <v>208622</v>
      </c>
      <c r="D938" s="1">
        <v>0</v>
      </c>
    </row>
    <row r="939" spans="1:4" ht="14.4" customHeight="1" x14ac:dyDescent="0.3">
      <c r="A939" s="1">
        <v>937</v>
      </c>
      <c r="B939">
        <v>206770</v>
      </c>
      <c r="C939">
        <v>208657</v>
      </c>
      <c r="D939" s="1">
        <v>0</v>
      </c>
    </row>
    <row r="940" spans="1:4" ht="14.4" customHeight="1" x14ac:dyDescent="0.3">
      <c r="A940" s="1">
        <v>938</v>
      </c>
      <c r="B940">
        <v>206770</v>
      </c>
      <c r="C940">
        <v>209385</v>
      </c>
      <c r="D940" s="1">
        <v>0</v>
      </c>
    </row>
    <row r="941" spans="1:4" ht="14.4" customHeight="1" x14ac:dyDescent="0.3">
      <c r="A941" s="1">
        <v>939</v>
      </c>
      <c r="B941">
        <v>206770</v>
      </c>
      <c r="C941">
        <v>205505</v>
      </c>
      <c r="D941" s="1">
        <v>0</v>
      </c>
    </row>
    <row r="942" spans="1:4" ht="14.4" customHeight="1" x14ac:dyDescent="0.3">
      <c r="A942" s="1">
        <v>940</v>
      </c>
      <c r="B942">
        <v>206770</v>
      </c>
      <c r="C942">
        <v>207238</v>
      </c>
      <c r="D942" s="1">
        <v>0</v>
      </c>
    </row>
    <row r="943" spans="1:4" ht="14.4" customHeight="1" x14ac:dyDescent="0.3">
      <c r="A943" s="1">
        <v>941</v>
      </c>
      <c r="B943">
        <v>206770</v>
      </c>
      <c r="C943">
        <v>207561</v>
      </c>
      <c r="D943" s="1">
        <v>0</v>
      </c>
    </row>
    <row r="944" spans="1:4" ht="14.4" customHeight="1" x14ac:dyDescent="0.3">
      <c r="A944" s="1">
        <v>942</v>
      </c>
      <c r="B944">
        <v>206770</v>
      </c>
      <c r="C944">
        <v>206872</v>
      </c>
      <c r="D944" s="1">
        <v>0</v>
      </c>
    </row>
    <row r="945" spans="1:4" ht="14.4" customHeight="1" x14ac:dyDescent="0.3">
      <c r="A945" s="1">
        <v>943</v>
      </c>
      <c r="B945">
        <v>206770</v>
      </c>
      <c r="C945">
        <v>208511</v>
      </c>
      <c r="D945" s="1">
        <v>0</v>
      </c>
    </row>
    <row r="946" spans="1:4" ht="14.4" customHeight="1" x14ac:dyDescent="0.3">
      <c r="A946" s="1">
        <v>944</v>
      </c>
      <c r="B946">
        <v>206770</v>
      </c>
      <c r="C946">
        <v>222031</v>
      </c>
      <c r="D946" s="1">
        <v>0</v>
      </c>
    </row>
    <row r="947" spans="1:4" ht="14.4" customHeight="1" x14ac:dyDescent="0.3">
      <c r="A947" s="1">
        <v>945</v>
      </c>
      <c r="B947">
        <v>206770</v>
      </c>
      <c r="C947">
        <v>209491</v>
      </c>
      <c r="D947" s="1">
        <v>0</v>
      </c>
    </row>
    <row r="948" spans="1:4" ht="14.4" customHeight="1" x14ac:dyDescent="0.3">
      <c r="A948" s="1">
        <v>946</v>
      </c>
      <c r="B948">
        <v>206770</v>
      </c>
      <c r="C948">
        <v>208624</v>
      </c>
      <c r="D948" s="1">
        <v>0</v>
      </c>
    </row>
    <row r="949" spans="1:4" ht="14.4" customHeight="1" x14ac:dyDescent="0.3">
      <c r="A949" s="1">
        <v>947</v>
      </c>
      <c r="B949">
        <v>206770</v>
      </c>
      <c r="C949">
        <v>207259</v>
      </c>
      <c r="D949" s="1">
        <v>0</v>
      </c>
    </row>
    <row r="950" spans="1:4" ht="14.4" customHeight="1" x14ac:dyDescent="0.3">
      <c r="A950" s="1">
        <v>948</v>
      </c>
      <c r="B950">
        <v>206770</v>
      </c>
      <c r="C950">
        <v>208777</v>
      </c>
      <c r="D950" s="1">
        <v>0</v>
      </c>
    </row>
    <row r="951" spans="1:4" ht="14.4" customHeight="1" x14ac:dyDescent="0.3">
      <c r="A951" s="1">
        <v>949</v>
      </c>
      <c r="B951">
        <v>206841</v>
      </c>
      <c r="C951">
        <v>209266</v>
      </c>
      <c r="D951" s="1">
        <v>0</v>
      </c>
    </row>
    <row r="952" spans="1:4" ht="14.4" customHeight="1" x14ac:dyDescent="0.3">
      <c r="A952" s="1">
        <v>950</v>
      </c>
      <c r="B952">
        <v>206841</v>
      </c>
      <c r="C952">
        <v>232847</v>
      </c>
      <c r="D952" s="1">
        <v>0</v>
      </c>
    </row>
    <row r="953" spans="1:4" ht="14.4" customHeight="1" x14ac:dyDescent="0.3">
      <c r="A953" s="1">
        <v>951</v>
      </c>
      <c r="B953">
        <v>206841</v>
      </c>
      <c r="C953">
        <v>209136</v>
      </c>
      <c r="D953" s="1">
        <v>3</v>
      </c>
    </row>
    <row r="954" spans="1:4" ht="14.4" customHeight="1" x14ac:dyDescent="0.3">
      <c r="A954" s="1">
        <v>952</v>
      </c>
      <c r="B954">
        <v>206841</v>
      </c>
      <c r="C954">
        <v>207077</v>
      </c>
      <c r="D954" s="1">
        <v>0</v>
      </c>
    </row>
    <row r="955" spans="1:4" ht="14.4" customHeight="1" x14ac:dyDescent="0.3">
      <c r="A955" s="1">
        <v>953</v>
      </c>
      <c r="B955">
        <v>206841</v>
      </c>
      <c r="C955">
        <v>206148</v>
      </c>
      <c r="D955" s="1">
        <v>0</v>
      </c>
    </row>
    <row r="956" spans="1:4" ht="14.4" customHeight="1" x14ac:dyDescent="0.3">
      <c r="A956" s="1">
        <v>954</v>
      </c>
      <c r="B956">
        <v>206841</v>
      </c>
      <c r="C956">
        <v>208776</v>
      </c>
      <c r="D956" s="1">
        <v>1</v>
      </c>
    </row>
    <row r="957" spans="1:4" ht="14.4" customHeight="1" x14ac:dyDescent="0.3">
      <c r="A957" s="1">
        <v>955</v>
      </c>
      <c r="B957">
        <v>206841</v>
      </c>
      <c r="C957">
        <v>205551</v>
      </c>
      <c r="D957" s="1">
        <v>0</v>
      </c>
    </row>
    <row r="958" spans="1:4" ht="14.4" customHeight="1" x14ac:dyDescent="0.3">
      <c r="A958" s="1">
        <v>956</v>
      </c>
      <c r="B958">
        <v>206841</v>
      </c>
      <c r="C958">
        <v>208485</v>
      </c>
      <c r="D958" s="1">
        <v>0</v>
      </c>
    </row>
    <row r="959" spans="1:4" ht="14.4" customHeight="1" x14ac:dyDescent="0.3">
      <c r="A959" s="1">
        <v>957</v>
      </c>
      <c r="B959">
        <v>206841</v>
      </c>
      <c r="C959">
        <v>206280</v>
      </c>
      <c r="D959" s="1">
        <v>0</v>
      </c>
    </row>
    <row r="960" spans="1:4" ht="14.4" customHeight="1" x14ac:dyDescent="0.3">
      <c r="A960" s="1">
        <v>958</v>
      </c>
      <c r="B960">
        <v>206841</v>
      </c>
      <c r="C960">
        <v>205750</v>
      </c>
      <c r="D960" s="1">
        <v>0</v>
      </c>
    </row>
    <row r="961" spans="1:4" ht="14.4" customHeight="1" x14ac:dyDescent="0.3">
      <c r="A961" s="1">
        <v>959</v>
      </c>
      <c r="B961">
        <v>206841</v>
      </c>
      <c r="C961">
        <v>208622</v>
      </c>
      <c r="D961" s="1">
        <v>0</v>
      </c>
    </row>
    <row r="962" spans="1:4" ht="14.4" customHeight="1" x14ac:dyDescent="0.3">
      <c r="A962" s="1">
        <v>960</v>
      </c>
      <c r="B962">
        <v>206841</v>
      </c>
      <c r="C962">
        <v>208657</v>
      </c>
      <c r="D962" s="1">
        <v>0</v>
      </c>
    </row>
    <row r="963" spans="1:4" ht="14.4" customHeight="1" x14ac:dyDescent="0.3">
      <c r="A963" s="1">
        <v>961</v>
      </c>
      <c r="B963">
        <v>206841</v>
      </c>
      <c r="C963">
        <v>209385</v>
      </c>
      <c r="D963" s="1">
        <v>0</v>
      </c>
    </row>
    <row r="964" spans="1:4" ht="14.4" customHeight="1" x14ac:dyDescent="0.3">
      <c r="A964" s="1">
        <v>962</v>
      </c>
      <c r="B964">
        <v>206841</v>
      </c>
      <c r="C964">
        <v>205505</v>
      </c>
      <c r="D964" s="1">
        <v>0</v>
      </c>
    </row>
    <row r="965" spans="1:4" ht="14.4" customHeight="1" x14ac:dyDescent="0.3">
      <c r="A965" s="1">
        <v>963</v>
      </c>
      <c r="B965">
        <v>206841</v>
      </c>
      <c r="C965">
        <v>207238</v>
      </c>
      <c r="D965" s="1">
        <v>0</v>
      </c>
    </row>
    <row r="966" spans="1:4" ht="14.4" customHeight="1" x14ac:dyDescent="0.3">
      <c r="A966" s="1">
        <v>964</v>
      </c>
      <c r="B966">
        <v>206841</v>
      </c>
      <c r="C966">
        <v>207561</v>
      </c>
      <c r="D966" s="1">
        <v>1</v>
      </c>
    </row>
    <row r="967" spans="1:4" ht="14.4" customHeight="1" x14ac:dyDescent="0.3">
      <c r="A967" s="1">
        <v>965</v>
      </c>
      <c r="B967">
        <v>206841</v>
      </c>
      <c r="C967">
        <v>206872</v>
      </c>
      <c r="D967" s="1">
        <v>0</v>
      </c>
    </row>
    <row r="968" spans="1:4" ht="14.4" customHeight="1" x14ac:dyDescent="0.3">
      <c r="A968" s="1">
        <v>966</v>
      </c>
      <c r="B968">
        <v>206841</v>
      </c>
      <c r="C968">
        <v>208511</v>
      </c>
      <c r="D968" s="1">
        <v>0</v>
      </c>
    </row>
    <row r="969" spans="1:4" ht="14.4" customHeight="1" x14ac:dyDescent="0.3">
      <c r="A969" s="1">
        <v>967</v>
      </c>
      <c r="B969">
        <v>206841</v>
      </c>
      <c r="C969">
        <v>222031</v>
      </c>
      <c r="D969" s="1">
        <v>0</v>
      </c>
    </row>
    <row r="970" spans="1:4" ht="14.4" customHeight="1" x14ac:dyDescent="0.3">
      <c r="A970" s="1">
        <v>968</v>
      </c>
      <c r="B970">
        <v>206841</v>
      </c>
      <c r="C970">
        <v>209491</v>
      </c>
      <c r="D970" s="1">
        <v>0</v>
      </c>
    </row>
    <row r="971" spans="1:4" ht="14.4" customHeight="1" x14ac:dyDescent="0.3">
      <c r="A971" s="1">
        <v>969</v>
      </c>
      <c r="B971">
        <v>206841</v>
      </c>
      <c r="C971">
        <v>208624</v>
      </c>
      <c r="D971" s="1">
        <v>0</v>
      </c>
    </row>
    <row r="972" spans="1:4" ht="14.4" customHeight="1" x14ac:dyDescent="0.3">
      <c r="A972" s="1">
        <v>970</v>
      </c>
      <c r="B972">
        <v>206841</v>
      </c>
      <c r="C972">
        <v>207259</v>
      </c>
      <c r="D972" s="1">
        <v>2</v>
      </c>
    </row>
    <row r="973" spans="1:4" ht="14.4" customHeight="1" x14ac:dyDescent="0.3">
      <c r="A973" s="1">
        <v>971</v>
      </c>
      <c r="B973">
        <v>206841</v>
      </c>
      <c r="C973">
        <v>208777</v>
      </c>
      <c r="D973" s="1">
        <v>0</v>
      </c>
    </row>
    <row r="974" spans="1:4" ht="14.4" customHeight="1" x14ac:dyDescent="0.3">
      <c r="A974" s="1">
        <v>972</v>
      </c>
      <c r="B974">
        <v>209266</v>
      </c>
      <c r="C974">
        <v>232847</v>
      </c>
      <c r="D974" s="1">
        <v>0</v>
      </c>
    </row>
    <row r="975" spans="1:4" ht="14.4" customHeight="1" x14ac:dyDescent="0.3">
      <c r="A975" s="1">
        <v>973</v>
      </c>
      <c r="B975">
        <v>209266</v>
      </c>
      <c r="C975">
        <v>209136</v>
      </c>
      <c r="D975" s="1">
        <v>0</v>
      </c>
    </row>
    <row r="976" spans="1:4" ht="14.4" customHeight="1" x14ac:dyDescent="0.3">
      <c r="A976" s="1">
        <v>974</v>
      </c>
      <c r="B976">
        <v>209266</v>
      </c>
      <c r="C976">
        <v>207077</v>
      </c>
      <c r="D976" s="1">
        <v>0</v>
      </c>
    </row>
    <row r="977" spans="1:4" ht="14.4" customHeight="1" x14ac:dyDescent="0.3">
      <c r="A977" s="1">
        <v>975</v>
      </c>
      <c r="B977">
        <v>209266</v>
      </c>
      <c r="C977">
        <v>206148</v>
      </c>
      <c r="D977" s="1">
        <v>0</v>
      </c>
    </row>
    <row r="978" spans="1:4" ht="14.4" customHeight="1" x14ac:dyDescent="0.3">
      <c r="A978" s="1">
        <v>976</v>
      </c>
      <c r="B978">
        <v>209266</v>
      </c>
      <c r="C978">
        <v>208776</v>
      </c>
      <c r="D978" s="1">
        <v>0</v>
      </c>
    </row>
    <row r="979" spans="1:4" ht="14.4" customHeight="1" x14ac:dyDescent="0.3">
      <c r="A979" s="1">
        <v>977</v>
      </c>
      <c r="B979">
        <v>209266</v>
      </c>
      <c r="C979">
        <v>205551</v>
      </c>
      <c r="D979" s="1">
        <v>5</v>
      </c>
    </row>
    <row r="980" spans="1:4" ht="14.4" customHeight="1" x14ac:dyDescent="0.3">
      <c r="A980" s="1">
        <v>978</v>
      </c>
      <c r="B980">
        <v>209266</v>
      </c>
      <c r="C980">
        <v>208485</v>
      </c>
      <c r="D980" s="1">
        <v>0</v>
      </c>
    </row>
    <row r="981" spans="1:4" ht="14.4" customHeight="1" x14ac:dyDescent="0.3">
      <c r="A981" s="1">
        <v>979</v>
      </c>
      <c r="B981">
        <v>209266</v>
      </c>
      <c r="C981">
        <v>206280</v>
      </c>
      <c r="D981" s="1">
        <v>0</v>
      </c>
    </row>
    <row r="982" spans="1:4" ht="14.4" customHeight="1" x14ac:dyDescent="0.3">
      <c r="A982" s="1">
        <v>980</v>
      </c>
      <c r="B982">
        <v>209266</v>
      </c>
      <c r="C982">
        <v>205750</v>
      </c>
      <c r="D982" s="1">
        <v>0</v>
      </c>
    </row>
    <row r="983" spans="1:4" ht="14.4" customHeight="1" x14ac:dyDescent="0.3">
      <c r="A983" s="1">
        <v>981</v>
      </c>
      <c r="B983">
        <v>209266</v>
      </c>
      <c r="C983">
        <v>208622</v>
      </c>
      <c r="D983" s="1">
        <v>4</v>
      </c>
    </row>
    <row r="984" spans="1:4" ht="14.4" customHeight="1" x14ac:dyDescent="0.3">
      <c r="A984" s="1">
        <v>982</v>
      </c>
      <c r="B984">
        <v>209266</v>
      </c>
      <c r="C984">
        <v>208657</v>
      </c>
      <c r="D984" s="1">
        <v>0</v>
      </c>
    </row>
    <row r="985" spans="1:4" ht="14.4" customHeight="1" x14ac:dyDescent="0.3">
      <c r="A985" s="1">
        <v>983</v>
      </c>
      <c r="B985">
        <v>209266</v>
      </c>
      <c r="C985">
        <v>209385</v>
      </c>
      <c r="D985" s="1">
        <v>3</v>
      </c>
    </row>
    <row r="986" spans="1:4" ht="14.4" customHeight="1" x14ac:dyDescent="0.3">
      <c r="A986" s="1">
        <v>984</v>
      </c>
      <c r="B986">
        <v>209266</v>
      </c>
      <c r="C986">
        <v>205505</v>
      </c>
      <c r="D986" s="1">
        <v>0</v>
      </c>
    </row>
    <row r="987" spans="1:4" ht="14.4" customHeight="1" x14ac:dyDescent="0.3">
      <c r="A987" s="1">
        <v>985</v>
      </c>
      <c r="B987">
        <v>209266</v>
      </c>
      <c r="C987">
        <v>207238</v>
      </c>
      <c r="D987" s="1">
        <v>0</v>
      </c>
    </row>
    <row r="988" spans="1:4" ht="14.4" customHeight="1" x14ac:dyDescent="0.3">
      <c r="A988" s="1">
        <v>986</v>
      </c>
      <c r="B988">
        <v>209266</v>
      </c>
      <c r="C988">
        <v>207561</v>
      </c>
      <c r="D988" s="1">
        <v>0</v>
      </c>
    </row>
    <row r="989" spans="1:4" ht="14.4" customHeight="1" x14ac:dyDescent="0.3">
      <c r="A989" s="1">
        <v>987</v>
      </c>
      <c r="B989">
        <v>209266</v>
      </c>
      <c r="C989">
        <v>206872</v>
      </c>
      <c r="D989" s="1">
        <v>0</v>
      </c>
    </row>
    <row r="990" spans="1:4" ht="14.4" customHeight="1" x14ac:dyDescent="0.3">
      <c r="A990" s="1">
        <v>988</v>
      </c>
      <c r="B990">
        <v>209266</v>
      </c>
      <c r="C990">
        <v>208511</v>
      </c>
      <c r="D990" s="1">
        <v>0</v>
      </c>
    </row>
    <row r="991" spans="1:4" ht="14.4" customHeight="1" x14ac:dyDescent="0.3">
      <c r="A991" s="1">
        <v>989</v>
      </c>
      <c r="B991">
        <v>209266</v>
      </c>
      <c r="C991">
        <v>222031</v>
      </c>
      <c r="D991" s="1">
        <v>0</v>
      </c>
    </row>
    <row r="992" spans="1:4" ht="14.4" customHeight="1" x14ac:dyDescent="0.3">
      <c r="A992" s="1">
        <v>990</v>
      </c>
      <c r="B992">
        <v>209266</v>
      </c>
      <c r="C992">
        <v>209491</v>
      </c>
      <c r="D992" s="1">
        <v>3</v>
      </c>
    </row>
    <row r="993" spans="1:4" ht="14.4" customHeight="1" x14ac:dyDescent="0.3">
      <c r="A993" s="1">
        <v>991</v>
      </c>
      <c r="B993">
        <v>209266</v>
      </c>
      <c r="C993">
        <v>208624</v>
      </c>
      <c r="D993" s="1">
        <v>0</v>
      </c>
    </row>
    <row r="994" spans="1:4" ht="14.4" customHeight="1" x14ac:dyDescent="0.3">
      <c r="A994" s="1">
        <v>992</v>
      </c>
      <c r="B994">
        <v>209266</v>
      </c>
      <c r="C994">
        <v>207259</v>
      </c>
      <c r="D994" s="1">
        <v>0</v>
      </c>
    </row>
    <row r="995" spans="1:4" ht="14.4" customHeight="1" x14ac:dyDescent="0.3">
      <c r="A995" s="1">
        <v>993</v>
      </c>
      <c r="B995">
        <v>209266</v>
      </c>
      <c r="C995">
        <v>208777</v>
      </c>
      <c r="D995" s="1">
        <v>0</v>
      </c>
    </row>
    <row r="996" spans="1:4" ht="14.4" customHeight="1" x14ac:dyDescent="0.3">
      <c r="A996" s="1">
        <v>994</v>
      </c>
      <c r="B996">
        <v>232847</v>
      </c>
      <c r="C996">
        <v>209136</v>
      </c>
      <c r="D996" s="1">
        <v>0</v>
      </c>
    </row>
    <row r="997" spans="1:4" ht="14.4" customHeight="1" x14ac:dyDescent="0.3">
      <c r="A997" s="1">
        <v>995</v>
      </c>
      <c r="B997">
        <v>232847</v>
      </c>
      <c r="C997">
        <v>207077</v>
      </c>
      <c r="D997" s="1">
        <v>0</v>
      </c>
    </row>
    <row r="998" spans="1:4" ht="14.4" customHeight="1" x14ac:dyDescent="0.3">
      <c r="A998" s="1">
        <v>996</v>
      </c>
      <c r="B998">
        <v>232847</v>
      </c>
      <c r="C998">
        <v>206148</v>
      </c>
      <c r="D998" s="1">
        <v>0</v>
      </c>
    </row>
    <row r="999" spans="1:4" ht="14.4" customHeight="1" x14ac:dyDescent="0.3">
      <c r="A999" s="1">
        <v>997</v>
      </c>
      <c r="B999">
        <v>232847</v>
      </c>
      <c r="C999">
        <v>208776</v>
      </c>
      <c r="D999" s="1">
        <v>0</v>
      </c>
    </row>
    <row r="1000" spans="1:4" ht="14.4" customHeight="1" x14ac:dyDescent="0.3">
      <c r="A1000" s="1">
        <v>998</v>
      </c>
      <c r="B1000">
        <v>232847</v>
      </c>
      <c r="C1000">
        <v>205551</v>
      </c>
      <c r="D1000" s="1">
        <v>0</v>
      </c>
    </row>
    <row r="1001" spans="1:4" ht="14.4" customHeight="1" x14ac:dyDescent="0.3">
      <c r="A1001" s="1">
        <v>999</v>
      </c>
      <c r="B1001">
        <v>232847</v>
      </c>
      <c r="C1001">
        <v>208485</v>
      </c>
      <c r="D1001" s="1">
        <v>5</v>
      </c>
    </row>
    <row r="1002" spans="1:4" ht="14.4" customHeight="1" x14ac:dyDescent="0.3">
      <c r="A1002" s="1">
        <v>1000</v>
      </c>
      <c r="B1002">
        <v>232847</v>
      </c>
      <c r="C1002">
        <v>206280</v>
      </c>
      <c r="D1002" s="1">
        <v>0</v>
      </c>
    </row>
    <row r="1003" spans="1:4" ht="14.4" customHeight="1" x14ac:dyDescent="0.3">
      <c r="A1003" s="1">
        <v>1001</v>
      </c>
      <c r="B1003">
        <v>232847</v>
      </c>
      <c r="C1003">
        <v>205750</v>
      </c>
      <c r="D1003" s="1">
        <v>0</v>
      </c>
    </row>
    <row r="1004" spans="1:4" ht="14.4" customHeight="1" x14ac:dyDescent="0.3">
      <c r="A1004" s="1">
        <v>1002</v>
      </c>
      <c r="B1004">
        <v>232847</v>
      </c>
      <c r="C1004">
        <v>208622</v>
      </c>
      <c r="D1004" s="1">
        <v>0</v>
      </c>
    </row>
    <row r="1005" spans="1:4" ht="14.4" customHeight="1" x14ac:dyDescent="0.3">
      <c r="A1005" s="1">
        <v>1003</v>
      </c>
      <c r="B1005">
        <v>232847</v>
      </c>
      <c r="C1005">
        <v>208657</v>
      </c>
      <c r="D1005" s="1">
        <v>5</v>
      </c>
    </row>
    <row r="1006" spans="1:4" ht="14.4" customHeight="1" x14ac:dyDescent="0.3">
      <c r="A1006" s="1">
        <v>1004</v>
      </c>
      <c r="B1006">
        <v>232847</v>
      </c>
      <c r="C1006">
        <v>209385</v>
      </c>
      <c r="D1006" s="1">
        <v>0</v>
      </c>
    </row>
    <row r="1007" spans="1:4" ht="14.4" customHeight="1" x14ac:dyDescent="0.3">
      <c r="A1007" s="1">
        <v>1005</v>
      </c>
      <c r="B1007">
        <v>232847</v>
      </c>
      <c r="C1007">
        <v>205505</v>
      </c>
      <c r="D1007" s="1">
        <v>0</v>
      </c>
    </row>
    <row r="1008" spans="1:4" ht="14.4" customHeight="1" x14ac:dyDescent="0.3">
      <c r="A1008" s="1">
        <v>1006</v>
      </c>
      <c r="B1008">
        <v>232847</v>
      </c>
      <c r="C1008">
        <v>207238</v>
      </c>
      <c r="D1008" s="1">
        <v>0</v>
      </c>
    </row>
    <row r="1009" spans="1:4" ht="14.4" customHeight="1" x14ac:dyDescent="0.3">
      <c r="A1009" s="1">
        <v>1007</v>
      </c>
      <c r="B1009">
        <v>232847</v>
      </c>
      <c r="C1009">
        <v>207561</v>
      </c>
      <c r="D1009" s="1">
        <v>0</v>
      </c>
    </row>
    <row r="1010" spans="1:4" ht="14.4" customHeight="1" x14ac:dyDescent="0.3">
      <c r="A1010" s="1">
        <v>1008</v>
      </c>
      <c r="B1010">
        <v>232847</v>
      </c>
      <c r="C1010">
        <v>206872</v>
      </c>
      <c r="D1010" s="1">
        <v>0</v>
      </c>
    </row>
    <row r="1011" spans="1:4" ht="14.4" customHeight="1" x14ac:dyDescent="0.3">
      <c r="A1011" s="1">
        <v>1009</v>
      </c>
      <c r="B1011">
        <v>232847</v>
      </c>
      <c r="C1011">
        <v>208511</v>
      </c>
      <c r="D1011" s="1">
        <v>5</v>
      </c>
    </row>
    <row r="1012" spans="1:4" ht="14.4" customHeight="1" x14ac:dyDescent="0.3">
      <c r="A1012" s="1">
        <v>1010</v>
      </c>
      <c r="B1012">
        <v>232847</v>
      </c>
      <c r="C1012">
        <v>222031</v>
      </c>
      <c r="D1012" s="1">
        <v>0</v>
      </c>
    </row>
    <row r="1013" spans="1:4" ht="14.4" customHeight="1" x14ac:dyDescent="0.3">
      <c r="A1013" s="1">
        <v>1011</v>
      </c>
      <c r="B1013">
        <v>232847</v>
      </c>
      <c r="C1013">
        <v>209491</v>
      </c>
      <c r="D1013" s="1">
        <v>0</v>
      </c>
    </row>
    <row r="1014" spans="1:4" ht="14.4" customHeight="1" x14ac:dyDescent="0.3">
      <c r="A1014" s="1">
        <v>1012</v>
      </c>
      <c r="B1014">
        <v>232847</v>
      </c>
      <c r="C1014">
        <v>208624</v>
      </c>
      <c r="D1014" s="1">
        <v>0</v>
      </c>
    </row>
    <row r="1015" spans="1:4" ht="14.4" customHeight="1" x14ac:dyDescent="0.3">
      <c r="A1015" s="1">
        <v>1013</v>
      </c>
      <c r="B1015">
        <v>232847</v>
      </c>
      <c r="C1015">
        <v>207259</v>
      </c>
      <c r="D1015" s="1">
        <v>0</v>
      </c>
    </row>
    <row r="1016" spans="1:4" ht="14.4" customHeight="1" x14ac:dyDescent="0.3">
      <c r="A1016" s="1">
        <v>1014</v>
      </c>
      <c r="B1016">
        <v>232847</v>
      </c>
      <c r="C1016">
        <v>208777</v>
      </c>
      <c r="D1016" s="1">
        <v>5</v>
      </c>
    </row>
    <row r="1017" spans="1:4" ht="14.4" customHeight="1" x14ac:dyDescent="0.3">
      <c r="A1017" s="1">
        <v>1015</v>
      </c>
      <c r="B1017">
        <v>209136</v>
      </c>
      <c r="C1017">
        <v>207077</v>
      </c>
      <c r="D1017" s="1">
        <v>0</v>
      </c>
    </row>
    <row r="1018" spans="1:4" ht="14.4" customHeight="1" x14ac:dyDescent="0.3">
      <c r="A1018" s="1">
        <v>1016</v>
      </c>
      <c r="B1018">
        <v>209136</v>
      </c>
      <c r="C1018">
        <v>206148</v>
      </c>
      <c r="D1018" s="1">
        <v>0</v>
      </c>
    </row>
    <row r="1019" spans="1:4" ht="14.4" customHeight="1" x14ac:dyDescent="0.3">
      <c r="A1019" s="1">
        <v>1017</v>
      </c>
      <c r="B1019">
        <v>209136</v>
      </c>
      <c r="C1019">
        <v>208776</v>
      </c>
      <c r="D1019" s="1">
        <v>0</v>
      </c>
    </row>
    <row r="1020" spans="1:4" ht="14.4" customHeight="1" x14ac:dyDescent="0.3">
      <c r="A1020" s="1">
        <v>1018</v>
      </c>
      <c r="B1020">
        <v>209136</v>
      </c>
      <c r="C1020">
        <v>205551</v>
      </c>
      <c r="D1020" s="1">
        <v>0</v>
      </c>
    </row>
    <row r="1021" spans="1:4" ht="14.4" customHeight="1" x14ac:dyDescent="0.3">
      <c r="A1021" s="1">
        <v>1019</v>
      </c>
      <c r="B1021">
        <v>209136</v>
      </c>
      <c r="C1021">
        <v>208485</v>
      </c>
      <c r="D1021" s="1">
        <v>0</v>
      </c>
    </row>
    <row r="1022" spans="1:4" ht="14.4" customHeight="1" x14ac:dyDescent="0.3">
      <c r="A1022" s="1">
        <v>1020</v>
      </c>
      <c r="B1022">
        <v>209136</v>
      </c>
      <c r="C1022">
        <v>206280</v>
      </c>
      <c r="D1022" s="1">
        <v>0</v>
      </c>
    </row>
    <row r="1023" spans="1:4" ht="14.4" customHeight="1" x14ac:dyDescent="0.3">
      <c r="A1023" s="1">
        <v>1021</v>
      </c>
      <c r="B1023">
        <v>209136</v>
      </c>
      <c r="C1023">
        <v>205750</v>
      </c>
      <c r="D1023" s="1">
        <v>0</v>
      </c>
    </row>
    <row r="1024" spans="1:4" ht="14.4" customHeight="1" x14ac:dyDescent="0.3">
      <c r="A1024" s="1">
        <v>1022</v>
      </c>
      <c r="B1024">
        <v>209136</v>
      </c>
      <c r="C1024">
        <v>208622</v>
      </c>
      <c r="D1024" s="1">
        <v>0</v>
      </c>
    </row>
    <row r="1025" spans="1:4" ht="14.4" customHeight="1" x14ac:dyDescent="0.3">
      <c r="A1025" s="1">
        <v>1023</v>
      </c>
      <c r="B1025">
        <v>209136</v>
      </c>
      <c r="C1025">
        <v>208657</v>
      </c>
      <c r="D1025" s="1">
        <v>0</v>
      </c>
    </row>
    <row r="1026" spans="1:4" ht="14.4" customHeight="1" x14ac:dyDescent="0.3">
      <c r="A1026" s="1">
        <v>1024</v>
      </c>
      <c r="B1026">
        <v>209136</v>
      </c>
      <c r="C1026">
        <v>209385</v>
      </c>
      <c r="D1026" s="1">
        <v>0</v>
      </c>
    </row>
    <row r="1027" spans="1:4" ht="14.4" customHeight="1" x14ac:dyDescent="0.3">
      <c r="A1027" s="1">
        <v>1025</v>
      </c>
      <c r="B1027">
        <v>209136</v>
      </c>
      <c r="C1027">
        <v>205505</v>
      </c>
      <c r="D1027" s="1">
        <v>0</v>
      </c>
    </row>
    <row r="1028" spans="1:4" ht="14.4" customHeight="1" x14ac:dyDescent="0.3">
      <c r="A1028" s="1">
        <v>1026</v>
      </c>
      <c r="B1028">
        <v>209136</v>
      </c>
      <c r="C1028">
        <v>207238</v>
      </c>
      <c r="D1028" s="1">
        <v>0</v>
      </c>
    </row>
    <row r="1029" spans="1:4" ht="14.4" customHeight="1" x14ac:dyDescent="0.3">
      <c r="A1029" s="1">
        <v>1027</v>
      </c>
      <c r="B1029">
        <v>209136</v>
      </c>
      <c r="C1029">
        <v>207561</v>
      </c>
      <c r="D1029" s="1">
        <v>0</v>
      </c>
    </row>
    <row r="1030" spans="1:4" ht="14.4" customHeight="1" x14ac:dyDescent="0.3">
      <c r="A1030" s="1">
        <v>1028</v>
      </c>
      <c r="B1030">
        <v>209136</v>
      </c>
      <c r="C1030">
        <v>206872</v>
      </c>
      <c r="D1030" s="1">
        <v>0</v>
      </c>
    </row>
    <row r="1031" spans="1:4" ht="14.4" customHeight="1" x14ac:dyDescent="0.3">
      <c r="A1031" s="1">
        <v>1029</v>
      </c>
      <c r="B1031">
        <v>209136</v>
      </c>
      <c r="C1031">
        <v>208511</v>
      </c>
      <c r="D1031" s="1">
        <v>0</v>
      </c>
    </row>
    <row r="1032" spans="1:4" ht="14.4" customHeight="1" x14ac:dyDescent="0.3">
      <c r="A1032" s="1">
        <v>1030</v>
      </c>
      <c r="B1032">
        <v>209136</v>
      </c>
      <c r="C1032">
        <v>222031</v>
      </c>
      <c r="D1032" s="1">
        <v>0</v>
      </c>
    </row>
    <row r="1033" spans="1:4" ht="14.4" customHeight="1" x14ac:dyDescent="0.3">
      <c r="A1033" s="1">
        <v>1031</v>
      </c>
      <c r="B1033">
        <v>209136</v>
      </c>
      <c r="C1033">
        <v>209491</v>
      </c>
      <c r="D1033" s="1">
        <v>0</v>
      </c>
    </row>
    <row r="1034" spans="1:4" ht="14.4" customHeight="1" x14ac:dyDescent="0.3">
      <c r="A1034" s="1">
        <v>1032</v>
      </c>
      <c r="B1034">
        <v>209136</v>
      </c>
      <c r="C1034">
        <v>208624</v>
      </c>
      <c r="D1034" s="1">
        <v>0</v>
      </c>
    </row>
    <row r="1035" spans="1:4" ht="14.4" customHeight="1" x14ac:dyDescent="0.3">
      <c r="A1035" s="1">
        <v>1033</v>
      </c>
      <c r="B1035">
        <v>209136</v>
      </c>
      <c r="C1035">
        <v>207259</v>
      </c>
      <c r="D1035" s="1">
        <v>0</v>
      </c>
    </row>
    <row r="1036" spans="1:4" ht="14.4" customHeight="1" x14ac:dyDescent="0.3">
      <c r="A1036" s="1">
        <v>1034</v>
      </c>
      <c r="B1036">
        <v>209136</v>
      </c>
      <c r="C1036">
        <v>208777</v>
      </c>
      <c r="D1036" s="1">
        <v>0</v>
      </c>
    </row>
    <row r="1037" spans="1:4" ht="14.4" customHeight="1" x14ac:dyDescent="0.3">
      <c r="A1037" s="1">
        <v>1035</v>
      </c>
      <c r="B1037">
        <v>207077</v>
      </c>
      <c r="C1037">
        <v>206148</v>
      </c>
      <c r="D1037" s="1">
        <v>0</v>
      </c>
    </row>
    <row r="1038" spans="1:4" ht="14.4" customHeight="1" x14ac:dyDescent="0.3">
      <c r="A1038" s="1">
        <v>1036</v>
      </c>
      <c r="B1038">
        <v>207077</v>
      </c>
      <c r="C1038">
        <v>208776</v>
      </c>
      <c r="D1038" s="1">
        <v>0</v>
      </c>
    </row>
    <row r="1039" spans="1:4" ht="14.4" customHeight="1" x14ac:dyDescent="0.3">
      <c r="A1039" s="1">
        <v>1037</v>
      </c>
      <c r="B1039">
        <v>207077</v>
      </c>
      <c r="C1039">
        <v>205551</v>
      </c>
      <c r="D1039" s="1">
        <v>0</v>
      </c>
    </row>
    <row r="1040" spans="1:4" ht="14.4" customHeight="1" x14ac:dyDescent="0.3">
      <c r="A1040" s="1">
        <v>1038</v>
      </c>
      <c r="B1040">
        <v>207077</v>
      </c>
      <c r="C1040">
        <v>208485</v>
      </c>
      <c r="D1040" s="1">
        <v>0</v>
      </c>
    </row>
    <row r="1041" spans="1:4" ht="14.4" customHeight="1" x14ac:dyDescent="0.3">
      <c r="A1041" s="1">
        <v>1039</v>
      </c>
      <c r="B1041">
        <v>207077</v>
      </c>
      <c r="C1041">
        <v>206280</v>
      </c>
      <c r="D1041" s="1">
        <v>0</v>
      </c>
    </row>
    <row r="1042" spans="1:4" ht="14.4" customHeight="1" x14ac:dyDescent="0.3">
      <c r="A1042" s="1">
        <v>1040</v>
      </c>
      <c r="B1042">
        <v>207077</v>
      </c>
      <c r="C1042">
        <v>205750</v>
      </c>
      <c r="D1042" s="1">
        <v>0</v>
      </c>
    </row>
    <row r="1043" spans="1:4" ht="14.4" customHeight="1" x14ac:dyDescent="0.3">
      <c r="A1043" s="1">
        <v>1041</v>
      </c>
      <c r="B1043">
        <v>207077</v>
      </c>
      <c r="C1043">
        <v>208622</v>
      </c>
      <c r="D1043" s="1">
        <v>0</v>
      </c>
    </row>
    <row r="1044" spans="1:4" ht="14.4" customHeight="1" x14ac:dyDescent="0.3">
      <c r="A1044" s="1">
        <v>1042</v>
      </c>
      <c r="B1044">
        <v>207077</v>
      </c>
      <c r="C1044">
        <v>208657</v>
      </c>
      <c r="D1044" s="1">
        <v>0</v>
      </c>
    </row>
    <row r="1045" spans="1:4" ht="14.4" customHeight="1" x14ac:dyDescent="0.3">
      <c r="A1045" s="1">
        <v>1043</v>
      </c>
      <c r="B1045">
        <v>207077</v>
      </c>
      <c r="C1045">
        <v>209385</v>
      </c>
      <c r="D1045" s="1">
        <v>0</v>
      </c>
    </row>
    <row r="1046" spans="1:4" ht="14.4" customHeight="1" x14ac:dyDescent="0.3">
      <c r="A1046" s="1">
        <v>1044</v>
      </c>
      <c r="B1046">
        <v>207077</v>
      </c>
      <c r="C1046">
        <v>205505</v>
      </c>
      <c r="D1046" s="1">
        <v>0</v>
      </c>
    </row>
    <row r="1047" spans="1:4" ht="14.4" customHeight="1" x14ac:dyDescent="0.3">
      <c r="A1047" s="1">
        <v>1045</v>
      </c>
      <c r="B1047">
        <v>207077</v>
      </c>
      <c r="C1047">
        <v>207238</v>
      </c>
      <c r="D1047" s="1">
        <v>0</v>
      </c>
    </row>
    <row r="1048" spans="1:4" ht="14.4" customHeight="1" x14ac:dyDescent="0.3">
      <c r="A1048" s="1">
        <v>1046</v>
      </c>
      <c r="B1048">
        <v>207077</v>
      </c>
      <c r="C1048">
        <v>207561</v>
      </c>
      <c r="D1048" s="1">
        <v>0</v>
      </c>
    </row>
    <row r="1049" spans="1:4" ht="14.4" customHeight="1" x14ac:dyDescent="0.3">
      <c r="A1049" s="1">
        <v>1047</v>
      </c>
      <c r="B1049">
        <v>207077</v>
      </c>
      <c r="C1049">
        <v>206872</v>
      </c>
      <c r="D1049" s="1">
        <v>0</v>
      </c>
    </row>
    <row r="1050" spans="1:4" ht="14.4" customHeight="1" x14ac:dyDescent="0.3">
      <c r="A1050" s="1">
        <v>1048</v>
      </c>
      <c r="B1050">
        <v>207077</v>
      </c>
      <c r="C1050">
        <v>208511</v>
      </c>
      <c r="D1050" s="1">
        <v>0</v>
      </c>
    </row>
    <row r="1051" spans="1:4" ht="14.4" customHeight="1" x14ac:dyDescent="0.3">
      <c r="A1051" s="1">
        <v>1049</v>
      </c>
      <c r="B1051">
        <v>207077</v>
      </c>
      <c r="C1051">
        <v>222031</v>
      </c>
      <c r="D1051" s="1">
        <v>0</v>
      </c>
    </row>
    <row r="1052" spans="1:4" ht="14.4" customHeight="1" x14ac:dyDescent="0.3">
      <c r="A1052" s="1">
        <v>1050</v>
      </c>
      <c r="B1052">
        <v>207077</v>
      </c>
      <c r="C1052">
        <v>209491</v>
      </c>
      <c r="D1052" s="1">
        <v>0</v>
      </c>
    </row>
    <row r="1053" spans="1:4" ht="14.4" customHeight="1" x14ac:dyDescent="0.3">
      <c r="A1053" s="1">
        <v>1051</v>
      </c>
      <c r="B1053">
        <v>207077</v>
      </c>
      <c r="C1053">
        <v>208624</v>
      </c>
      <c r="D1053" s="1">
        <v>0</v>
      </c>
    </row>
    <row r="1054" spans="1:4" ht="14.4" customHeight="1" x14ac:dyDescent="0.3">
      <c r="A1054" s="1">
        <v>1052</v>
      </c>
      <c r="B1054">
        <v>207077</v>
      </c>
      <c r="C1054">
        <v>207259</v>
      </c>
      <c r="D1054" s="1">
        <v>0</v>
      </c>
    </row>
    <row r="1055" spans="1:4" ht="14.4" customHeight="1" x14ac:dyDescent="0.3">
      <c r="A1055" s="1">
        <v>1053</v>
      </c>
      <c r="B1055">
        <v>207077</v>
      </c>
      <c r="C1055">
        <v>208777</v>
      </c>
      <c r="D1055" s="1">
        <v>0</v>
      </c>
    </row>
    <row r="1056" spans="1:4" ht="14.4" customHeight="1" x14ac:dyDescent="0.3">
      <c r="A1056" s="1">
        <v>1054</v>
      </c>
      <c r="B1056">
        <v>206148</v>
      </c>
      <c r="C1056">
        <v>208776</v>
      </c>
      <c r="D1056" s="1">
        <v>0</v>
      </c>
    </row>
    <row r="1057" spans="1:4" ht="14.4" customHeight="1" x14ac:dyDescent="0.3">
      <c r="A1057" s="1">
        <v>1055</v>
      </c>
      <c r="B1057">
        <v>206148</v>
      </c>
      <c r="C1057">
        <v>205551</v>
      </c>
      <c r="D1057" s="1">
        <v>0</v>
      </c>
    </row>
    <row r="1058" spans="1:4" ht="14.4" customHeight="1" x14ac:dyDescent="0.3">
      <c r="A1058" s="1">
        <v>1056</v>
      </c>
      <c r="B1058">
        <v>206148</v>
      </c>
      <c r="C1058">
        <v>208485</v>
      </c>
      <c r="D1058" s="1">
        <v>0</v>
      </c>
    </row>
    <row r="1059" spans="1:4" ht="14.4" customHeight="1" x14ac:dyDescent="0.3">
      <c r="A1059" s="1">
        <v>1057</v>
      </c>
      <c r="B1059">
        <v>206148</v>
      </c>
      <c r="C1059">
        <v>206280</v>
      </c>
      <c r="D1059" s="1">
        <v>0</v>
      </c>
    </row>
    <row r="1060" spans="1:4" ht="14.4" customHeight="1" x14ac:dyDescent="0.3">
      <c r="A1060" s="1">
        <v>1058</v>
      </c>
      <c r="B1060">
        <v>206148</v>
      </c>
      <c r="C1060">
        <v>205750</v>
      </c>
      <c r="D1060" s="1">
        <v>0</v>
      </c>
    </row>
    <row r="1061" spans="1:4" ht="14.4" customHeight="1" x14ac:dyDescent="0.3">
      <c r="A1061" s="1">
        <v>1059</v>
      </c>
      <c r="B1061">
        <v>206148</v>
      </c>
      <c r="C1061">
        <v>208622</v>
      </c>
      <c r="D1061" s="1">
        <v>0</v>
      </c>
    </row>
    <row r="1062" spans="1:4" ht="14.4" customHeight="1" x14ac:dyDescent="0.3">
      <c r="A1062" s="1">
        <v>1060</v>
      </c>
      <c r="B1062">
        <v>206148</v>
      </c>
      <c r="C1062">
        <v>208657</v>
      </c>
      <c r="D1062" s="1">
        <v>0</v>
      </c>
    </row>
    <row r="1063" spans="1:4" ht="14.4" customHeight="1" x14ac:dyDescent="0.3">
      <c r="A1063" s="1">
        <v>1061</v>
      </c>
      <c r="B1063">
        <v>206148</v>
      </c>
      <c r="C1063">
        <v>209385</v>
      </c>
      <c r="D1063" s="1">
        <v>0</v>
      </c>
    </row>
    <row r="1064" spans="1:4" ht="14.4" customHeight="1" x14ac:dyDescent="0.3">
      <c r="A1064" s="1">
        <v>1062</v>
      </c>
      <c r="B1064">
        <v>206148</v>
      </c>
      <c r="C1064">
        <v>205505</v>
      </c>
      <c r="D1064" s="1">
        <v>1</v>
      </c>
    </row>
    <row r="1065" spans="1:4" ht="14.4" customHeight="1" x14ac:dyDescent="0.3">
      <c r="A1065" s="1">
        <v>1063</v>
      </c>
      <c r="B1065">
        <v>206148</v>
      </c>
      <c r="C1065">
        <v>207238</v>
      </c>
      <c r="D1065" s="1">
        <v>0</v>
      </c>
    </row>
    <row r="1066" spans="1:4" ht="14.4" customHeight="1" x14ac:dyDescent="0.3">
      <c r="A1066" s="1">
        <v>1064</v>
      </c>
      <c r="B1066">
        <v>206148</v>
      </c>
      <c r="C1066">
        <v>207561</v>
      </c>
      <c r="D1066" s="1">
        <v>0</v>
      </c>
    </row>
    <row r="1067" spans="1:4" ht="14.4" customHeight="1" x14ac:dyDescent="0.3">
      <c r="A1067" s="1">
        <v>1065</v>
      </c>
      <c r="B1067">
        <v>206148</v>
      </c>
      <c r="C1067">
        <v>206872</v>
      </c>
      <c r="D1067" s="1">
        <v>0</v>
      </c>
    </row>
    <row r="1068" spans="1:4" ht="14.4" customHeight="1" x14ac:dyDescent="0.3">
      <c r="A1068" s="1">
        <v>1066</v>
      </c>
      <c r="B1068">
        <v>206148</v>
      </c>
      <c r="C1068">
        <v>208511</v>
      </c>
      <c r="D1068" s="1">
        <v>0</v>
      </c>
    </row>
    <row r="1069" spans="1:4" ht="14.4" customHeight="1" x14ac:dyDescent="0.3">
      <c r="A1069" s="1">
        <v>1067</v>
      </c>
      <c r="B1069">
        <v>206148</v>
      </c>
      <c r="C1069">
        <v>222031</v>
      </c>
      <c r="D1069" s="1">
        <v>5</v>
      </c>
    </row>
    <row r="1070" spans="1:4" ht="14.4" customHeight="1" x14ac:dyDescent="0.3">
      <c r="A1070" s="1">
        <v>1068</v>
      </c>
      <c r="B1070">
        <v>206148</v>
      </c>
      <c r="C1070">
        <v>209491</v>
      </c>
      <c r="D1070" s="1">
        <v>0</v>
      </c>
    </row>
    <row r="1071" spans="1:4" ht="14.4" customHeight="1" x14ac:dyDescent="0.3">
      <c r="A1071" s="1">
        <v>1069</v>
      </c>
      <c r="B1071">
        <v>206148</v>
      </c>
      <c r="C1071">
        <v>208624</v>
      </c>
      <c r="D1071" s="1">
        <v>0</v>
      </c>
    </row>
    <row r="1072" spans="1:4" ht="14.4" customHeight="1" x14ac:dyDescent="0.3">
      <c r="A1072" s="1">
        <v>1070</v>
      </c>
      <c r="B1072">
        <v>206148</v>
      </c>
      <c r="C1072">
        <v>207259</v>
      </c>
      <c r="D1072" s="1">
        <v>0</v>
      </c>
    </row>
    <row r="1073" spans="1:4" ht="14.4" customHeight="1" x14ac:dyDescent="0.3">
      <c r="A1073" s="1">
        <v>1071</v>
      </c>
      <c r="B1073">
        <v>206148</v>
      </c>
      <c r="C1073">
        <v>208777</v>
      </c>
      <c r="D1073" s="1">
        <v>0</v>
      </c>
    </row>
    <row r="1074" spans="1:4" ht="14.4" customHeight="1" x14ac:dyDescent="0.3">
      <c r="A1074" s="1">
        <v>1072</v>
      </c>
      <c r="B1074">
        <v>208776</v>
      </c>
      <c r="C1074">
        <v>205551</v>
      </c>
      <c r="D1074" s="1">
        <v>0</v>
      </c>
    </row>
    <row r="1075" spans="1:4" ht="14.4" customHeight="1" x14ac:dyDescent="0.3">
      <c r="A1075" s="1">
        <v>1073</v>
      </c>
      <c r="B1075">
        <v>208776</v>
      </c>
      <c r="C1075">
        <v>208485</v>
      </c>
      <c r="D1075" s="1">
        <v>0</v>
      </c>
    </row>
    <row r="1076" spans="1:4" ht="14.4" customHeight="1" x14ac:dyDescent="0.3">
      <c r="A1076" s="1">
        <v>1074</v>
      </c>
      <c r="B1076">
        <v>208776</v>
      </c>
      <c r="C1076">
        <v>206280</v>
      </c>
      <c r="D1076" s="1">
        <v>0</v>
      </c>
    </row>
    <row r="1077" spans="1:4" ht="14.4" customHeight="1" x14ac:dyDescent="0.3">
      <c r="A1077" s="1">
        <v>1075</v>
      </c>
      <c r="B1077">
        <v>208776</v>
      </c>
      <c r="C1077">
        <v>205750</v>
      </c>
      <c r="D1077" s="1">
        <v>0</v>
      </c>
    </row>
    <row r="1078" spans="1:4" ht="14.4" customHeight="1" x14ac:dyDescent="0.3">
      <c r="A1078" s="1">
        <v>1076</v>
      </c>
      <c r="B1078">
        <v>208776</v>
      </c>
      <c r="C1078">
        <v>208622</v>
      </c>
      <c r="D1078" s="1">
        <v>0</v>
      </c>
    </row>
    <row r="1079" spans="1:4" ht="14.4" customHeight="1" x14ac:dyDescent="0.3">
      <c r="A1079" s="1">
        <v>1077</v>
      </c>
      <c r="B1079">
        <v>208776</v>
      </c>
      <c r="C1079">
        <v>208657</v>
      </c>
      <c r="D1079" s="1">
        <v>0</v>
      </c>
    </row>
    <row r="1080" spans="1:4" ht="14.4" customHeight="1" x14ac:dyDescent="0.3">
      <c r="A1080" s="1">
        <v>1078</v>
      </c>
      <c r="B1080">
        <v>208776</v>
      </c>
      <c r="C1080">
        <v>209385</v>
      </c>
      <c r="D1080" s="1">
        <v>0</v>
      </c>
    </row>
    <row r="1081" spans="1:4" ht="14.4" customHeight="1" x14ac:dyDescent="0.3">
      <c r="A1081" s="1">
        <v>1079</v>
      </c>
      <c r="B1081">
        <v>208776</v>
      </c>
      <c r="C1081">
        <v>205505</v>
      </c>
      <c r="D1081" s="1">
        <v>0</v>
      </c>
    </row>
    <row r="1082" spans="1:4" ht="14.4" customHeight="1" x14ac:dyDescent="0.3">
      <c r="A1082" s="1">
        <v>1080</v>
      </c>
      <c r="B1082">
        <v>208776</v>
      </c>
      <c r="C1082">
        <v>207238</v>
      </c>
      <c r="D1082" s="1">
        <v>0</v>
      </c>
    </row>
    <row r="1083" spans="1:4" ht="14.4" customHeight="1" x14ac:dyDescent="0.3">
      <c r="A1083" s="1">
        <v>1081</v>
      </c>
      <c r="B1083">
        <v>208776</v>
      </c>
      <c r="C1083">
        <v>207561</v>
      </c>
      <c r="D1083" s="1">
        <v>0</v>
      </c>
    </row>
    <row r="1084" spans="1:4" ht="14.4" customHeight="1" x14ac:dyDescent="0.3">
      <c r="A1084" s="1">
        <v>1082</v>
      </c>
      <c r="B1084">
        <v>208776</v>
      </c>
      <c r="C1084">
        <v>206872</v>
      </c>
      <c r="D1084" s="1">
        <v>0</v>
      </c>
    </row>
    <row r="1085" spans="1:4" ht="14.4" customHeight="1" x14ac:dyDescent="0.3">
      <c r="A1085" s="1">
        <v>1083</v>
      </c>
      <c r="B1085">
        <v>208776</v>
      </c>
      <c r="C1085">
        <v>208511</v>
      </c>
      <c r="D1085" s="1">
        <v>0</v>
      </c>
    </row>
    <row r="1086" spans="1:4" ht="14.4" customHeight="1" x14ac:dyDescent="0.3">
      <c r="A1086" s="1">
        <v>1084</v>
      </c>
      <c r="B1086">
        <v>208776</v>
      </c>
      <c r="C1086">
        <v>222031</v>
      </c>
      <c r="D1086" s="1">
        <v>0</v>
      </c>
    </row>
    <row r="1087" spans="1:4" ht="14.4" customHeight="1" x14ac:dyDescent="0.3">
      <c r="A1087" s="1">
        <v>1085</v>
      </c>
      <c r="B1087">
        <v>208776</v>
      </c>
      <c r="C1087">
        <v>209491</v>
      </c>
      <c r="D1087" s="1">
        <v>0</v>
      </c>
    </row>
    <row r="1088" spans="1:4" ht="14.4" customHeight="1" x14ac:dyDescent="0.3">
      <c r="A1088" s="1">
        <v>1086</v>
      </c>
      <c r="B1088">
        <v>208776</v>
      </c>
      <c r="C1088">
        <v>208624</v>
      </c>
      <c r="D1088" s="1">
        <v>0</v>
      </c>
    </row>
    <row r="1089" spans="1:4" ht="14.4" customHeight="1" x14ac:dyDescent="0.3">
      <c r="A1089" s="1">
        <v>1087</v>
      </c>
      <c r="B1089">
        <v>208776</v>
      </c>
      <c r="C1089">
        <v>207259</v>
      </c>
      <c r="D1089" s="1">
        <v>1</v>
      </c>
    </row>
    <row r="1090" spans="1:4" ht="14.4" customHeight="1" x14ac:dyDescent="0.3">
      <c r="A1090" s="1">
        <v>1088</v>
      </c>
      <c r="B1090">
        <v>208776</v>
      </c>
      <c r="C1090">
        <v>208777</v>
      </c>
      <c r="D1090" s="1">
        <v>0</v>
      </c>
    </row>
    <row r="1091" spans="1:4" ht="14.4" customHeight="1" x14ac:dyDescent="0.3">
      <c r="A1091" s="1">
        <v>1089</v>
      </c>
      <c r="B1091">
        <v>205551</v>
      </c>
      <c r="C1091">
        <v>208485</v>
      </c>
      <c r="D1091" s="1">
        <v>0</v>
      </c>
    </row>
    <row r="1092" spans="1:4" ht="14.4" customHeight="1" x14ac:dyDescent="0.3">
      <c r="A1092" s="1">
        <v>1090</v>
      </c>
      <c r="B1092">
        <v>205551</v>
      </c>
      <c r="C1092">
        <v>206280</v>
      </c>
      <c r="D1092" s="1">
        <v>0</v>
      </c>
    </row>
    <row r="1093" spans="1:4" ht="14.4" customHeight="1" x14ac:dyDescent="0.3">
      <c r="A1093" s="1">
        <v>1091</v>
      </c>
      <c r="B1093">
        <v>205551</v>
      </c>
      <c r="C1093">
        <v>205750</v>
      </c>
      <c r="D1093" s="1">
        <v>0</v>
      </c>
    </row>
    <row r="1094" spans="1:4" ht="14.4" customHeight="1" x14ac:dyDescent="0.3">
      <c r="A1094" s="1">
        <v>1092</v>
      </c>
      <c r="B1094">
        <v>205551</v>
      </c>
      <c r="C1094">
        <v>208622</v>
      </c>
      <c r="D1094" s="1">
        <v>2</v>
      </c>
    </row>
    <row r="1095" spans="1:4" ht="14.4" customHeight="1" x14ac:dyDescent="0.3">
      <c r="A1095" s="1">
        <v>1093</v>
      </c>
      <c r="B1095">
        <v>205551</v>
      </c>
      <c r="C1095">
        <v>208657</v>
      </c>
      <c r="D1095" s="1">
        <v>0</v>
      </c>
    </row>
    <row r="1096" spans="1:4" ht="14.4" customHeight="1" x14ac:dyDescent="0.3">
      <c r="A1096" s="1">
        <v>1094</v>
      </c>
      <c r="B1096">
        <v>205551</v>
      </c>
      <c r="C1096">
        <v>209385</v>
      </c>
      <c r="D1096" s="1">
        <v>3</v>
      </c>
    </row>
    <row r="1097" spans="1:4" ht="14.4" customHeight="1" x14ac:dyDescent="0.3">
      <c r="A1097" s="1">
        <v>1095</v>
      </c>
      <c r="B1097">
        <v>205551</v>
      </c>
      <c r="C1097">
        <v>205505</v>
      </c>
      <c r="D1097" s="1">
        <v>0</v>
      </c>
    </row>
    <row r="1098" spans="1:4" ht="14.4" customHeight="1" x14ac:dyDescent="0.3">
      <c r="A1098" s="1">
        <v>1096</v>
      </c>
      <c r="B1098">
        <v>205551</v>
      </c>
      <c r="C1098">
        <v>207238</v>
      </c>
      <c r="D1098" s="1">
        <v>0</v>
      </c>
    </row>
    <row r="1099" spans="1:4" ht="14.4" customHeight="1" x14ac:dyDescent="0.3">
      <c r="A1099" s="1">
        <v>1097</v>
      </c>
      <c r="B1099">
        <v>205551</v>
      </c>
      <c r="C1099">
        <v>207561</v>
      </c>
      <c r="D1099" s="1">
        <v>0</v>
      </c>
    </row>
    <row r="1100" spans="1:4" ht="14.4" customHeight="1" x14ac:dyDescent="0.3">
      <c r="A1100" s="1">
        <v>1098</v>
      </c>
      <c r="B1100">
        <v>205551</v>
      </c>
      <c r="C1100">
        <v>206872</v>
      </c>
      <c r="D1100" s="1">
        <v>0</v>
      </c>
    </row>
    <row r="1101" spans="1:4" ht="14.4" customHeight="1" x14ac:dyDescent="0.3">
      <c r="A1101" s="1">
        <v>1099</v>
      </c>
      <c r="B1101">
        <v>205551</v>
      </c>
      <c r="C1101">
        <v>208511</v>
      </c>
      <c r="D1101" s="1">
        <v>0</v>
      </c>
    </row>
    <row r="1102" spans="1:4" ht="14.4" customHeight="1" x14ac:dyDescent="0.3">
      <c r="A1102" s="1">
        <v>1100</v>
      </c>
      <c r="B1102">
        <v>205551</v>
      </c>
      <c r="C1102">
        <v>222031</v>
      </c>
      <c r="D1102" s="1">
        <v>0</v>
      </c>
    </row>
    <row r="1103" spans="1:4" ht="14.4" customHeight="1" x14ac:dyDescent="0.3">
      <c r="A1103" s="1">
        <v>1101</v>
      </c>
      <c r="B1103">
        <v>205551</v>
      </c>
      <c r="C1103">
        <v>209491</v>
      </c>
      <c r="D1103" s="1">
        <v>3</v>
      </c>
    </row>
    <row r="1104" spans="1:4" ht="14.4" customHeight="1" x14ac:dyDescent="0.3">
      <c r="A1104" s="1">
        <v>1102</v>
      </c>
      <c r="B1104">
        <v>205551</v>
      </c>
      <c r="C1104">
        <v>208624</v>
      </c>
      <c r="D1104" s="1">
        <v>0</v>
      </c>
    </row>
    <row r="1105" spans="1:4" ht="14.4" customHeight="1" x14ac:dyDescent="0.3">
      <c r="A1105" s="1">
        <v>1103</v>
      </c>
      <c r="B1105">
        <v>205551</v>
      </c>
      <c r="C1105">
        <v>207259</v>
      </c>
      <c r="D1105" s="1">
        <v>0</v>
      </c>
    </row>
    <row r="1106" spans="1:4" ht="14.4" customHeight="1" x14ac:dyDescent="0.3">
      <c r="A1106" s="1">
        <v>1104</v>
      </c>
      <c r="B1106">
        <v>205551</v>
      </c>
      <c r="C1106">
        <v>208777</v>
      </c>
      <c r="D1106" s="1">
        <v>0</v>
      </c>
    </row>
    <row r="1107" spans="1:4" ht="14.4" customHeight="1" x14ac:dyDescent="0.3">
      <c r="A1107" s="1">
        <v>1105</v>
      </c>
      <c r="B1107">
        <v>208485</v>
      </c>
      <c r="C1107">
        <v>206280</v>
      </c>
      <c r="D1107" s="1">
        <v>0</v>
      </c>
    </row>
    <row r="1108" spans="1:4" ht="14.4" customHeight="1" x14ac:dyDescent="0.3">
      <c r="A1108" s="1">
        <v>1106</v>
      </c>
      <c r="B1108">
        <v>208485</v>
      </c>
      <c r="C1108">
        <v>205750</v>
      </c>
      <c r="D1108" s="1">
        <v>0</v>
      </c>
    </row>
    <row r="1109" spans="1:4" ht="14.4" customHeight="1" x14ac:dyDescent="0.3">
      <c r="A1109" s="1">
        <v>1107</v>
      </c>
      <c r="B1109">
        <v>208485</v>
      </c>
      <c r="C1109">
        <v>208622</v>
      </c>
      <c r="D1109" s="1">
        <v>0</v>
      </c>
    </row>
    <row r="1110" spans="1:4" ht="14.4" customHeight="1" x14ac:dyDescent="0.3">
      <c r="A1110" s="1">
        <v>1108</v>
      </c>
      <c r="B1110">
        <v>208485</v>
      </c>
      <c r="C1110">
        <v>208657</v>
      </c>
      <c r="D1110" s="1">
        <v>5</v>
      </c>
    </row>
    <row r="1111" spans="1:4" ht="14.4" customHeight="1" x14ac:dyDescent="0.3">
      <c r="A1111" s="1">
        <v>1109</v>
      </c>
      <c r="B1111">
        <v>208485</v>
      </c>
      <c r="C1111">
        <v>209385</v>
      </c>
      <c r="D1111" s="1">
        <v>0</v>
      </c>
    </row>
    <row r="1112" spans="1:4" ht="14.4" customHeight="1" x14ac:dyDescent="0.3">
      <c r="A1112" s="1">
        <v>1110</v>
      </c>
      <c r="B1112">
        <v>208485</v>
      </c>
      <c r="C1112">
        <v>205505</v>
      </c>
      <c r="D1112" s="1">
        <v>0</v>
      </c>
    </row>
    <row r="1113" spans="1:4" ht="14.4" customHeight="1" x14ac:dyDescent="0.3">
      <c r="A1113" s="1">
        <v>1111</v>
      </c>
      <c r="B1113">
        <v>208485</v>
      </c>
      <c r="C1113">
        <v>207238</v>
      </c>
      <c r="D1113" s="1">
        <v>0</v>
      </c>
    </row>
    <row r="1114" spans="1:4" ht="14.4" customHeight="1" x14ac:dyDescent="0.3">
      <c r="A1114" s="1">
        <v>1112</v>
      </c>
      <c r="B1114">
        <v>208485</v>
      </c>
      <c r="C1114">
        <v>207561</v>
      </c>
      <c r="D1114" s="1">
        <v>0</v>
      </c>
    </row>
    <row r="1115" spans="1:4" ht="14.4" customHeight="1" x14ac:dyDescent="0.3">
      <c r="A1115" s="1">
        <v>1113</v>
      </c>
      <c r="B1115">
        <v>208485</v>
      </c>
      <c r="C1115">
        <v>206872</v>
      </c>
      <c r="D1115" s="1">
        <v>0</v>
      </c>
    </row>
    <row r="1116" spans="1:4" ht="14.4" customHeight="1" x14ac:dyDescent="0.3">
      <c r="A1116" s="1">
        <v>1114</v>
      </c>
      <c r="B1116">
        <v>208485</v>
      </c>
      <c r="C1116">
        <v>208511</v>
      </c>
      <c r="D1116" s="1">
        <v>5</v>
      </c>
    </row>
    <row r="1117" spans="1:4" ht="14.4" customHeight="1" x14ac:dyDescent="0.3">
      <c r="A1117" s="1">
        <v>1115</v>
      </c>
      <c r="B1117">
        <v>208485</v>
      </c>
      <c r="C1117">
        <v>222031</v>
      </c>
      <c r="D1117" s="1">
        <v>0</v>
      </c>
    </row>
    <row r="1118" spans="1:4" ht="14.4" customHeight="1" x14ac:dyDescent="0.3">
      <c r="A1118" s="1">
        <v>1116</v>
      </c>
      <c r="B1118">
        <v>208485</v>
      </c>
      <c r="C1118">
        <v>209491</v>
      </c>
      <c r="D1118" s="1">
        <v>0</v>
      </c>
    </row>
    <row r="1119" spans="1:4" ht="14.4" customHeight="1" x14ac:dyDescent="0.3">
      <c r="A1119" s="1">
        <v>1117</v>
      </c>
      <c r="B1119">
        <v>208485</v>
      </c>
      <c r="C1119">
        <v>208624</v>
      </c>
      <c r="D1119" s="1">
        <v>0</v>
      </c>
    </row>
    <row r="1120" spans="1:4" ht="14.4" customHeight="1" x14ac:dyDescent="0.3">
      <c r="A1120" s="1">
        <v>1118</v>
      </c>
      <c r="B1120">
        <v>208485</v>
      </c>
      <c r="C1120">
        <v>207259</v>
      </c>
      <c r="D1120" s="1">
        <v>0</v>
      </c>
    </row>
    <row r="1121" spans="1:4" ht="14.4" customHeight="1" x14ac:dyDescent="0.3">
      <c r="A1121" s="1">
        <v>1119</v>
      </c>
      <c r="B1121">
        <v>208485</v>
      </c>
      <c r="C1121">
        <v>208777</v>
      </c>
      <c r="D1121" s="1">
        <v>5</v>
      </c>
    </row>
    <row r="1122" spans="1:4" ht="14.4" customHeight="1" x14ac:dyDescent="0.3">
      <c r="A1122" s="1">
        <v>1120</v>
      </c>
      <c r="B1122">
        <v>206280</v>
      </c>
      <c r="C1122">
        <v>205750</v>
      </c>
      <c r="D1122" s="1">
        <v>0</v>
      </c>
    </row>
    <row r="1123" spans="1:4" ht="14.4" customHeight="1" x14ac:dyDescent="0.3">
      <c r="A1123" s="1">
        <v>1121</v>
      </c>
      <c r="B1123">
        <v>206280</v>
      </c>
      <c r="C1123">
        <v>208622</v>
      </c>
      <c r="D1123" s="1">
        <v>0</v>
      </c>
    </row>
    <row r="1124" spans="1:4" ht="14.4" customHeight="1" x14ac:dyDescent="0.3">
      <c r="A1124" s="1">
        <v>1122</v>
      </c>
      <c r="B1124">
        <v>206280</v>
      </c>
      <c r="C1124">
        <v>208657</v>
      </c>
      <c r="D1124" s="1">
        <v>0</v>
      </c>
    </row>
    <row r="1125" spans="1:4" ht="14.4" customHeight="1" x14ac:dyDescent="0.3">
      <c r="A1125" s="1">
        <v>1123</v>
      </c>
      <c r="B1125">
        <v>206280</v>
      </c>
      <c r="C1125">
        <v>209385</v>
      </c>
      <c r="D1125" s="1">
        <v>0</v>
      </c>
    </row>
    <row r="1126" spans="1:4" ht="14.4" customHeight="1" x14ac:dyDescent="0.3">
      <c r="A1126" s="1">
        <v>1124</v>
      </c>
      <c r="B1126">
        <v>206280</v>
      </c>
      <c r="C1126">
        <v>205505</v>
      </c>
      <c r="D1126" s="1">
        <v>0</v>
      </c>
    </row>
    <row r="1127" spans="1:4" ht="14.4" customHeight="1" x14ac:dyDescent="0.3">
      <c r="A1127" s="1">
        <v>1125</v>
      </c>
      <c r="B1127">
        <v>206280</v>
      </c>
      <c r="C1127">
        <v>207238</v>
      </c>
      <c r="D1127" s="1">
        <v>0</v>
      </c>
    </row>
    <row r="1128" spans="1:4" ht="14.4" customHeight="1" x14ac:dyDescent="0.3">
      <c r="A1128" s="1">
        <v>1126</v>
      </c>
      <c r="B1128">
        <v>206280</v>
      </c>
      <c r="C1128">
        <v>207561</v>
      </c>
      <c r="D1128" s="1">
        <v>0</v>
      </c>
    </row>
    <row r="1129" spans="1:4" ht="14.4" customHeight="1" x14ac:dyDescent="0.3">
      <c r="A1129" s="1">
        <v>1127</v>
      </c>
      <c r="B1129">
        <v>206280</v>
      </c>
      <c r="C1129">
        <v>206872</v>
      </c>
      <c r="D1129" s="1">
        <v>0</v>
      </c>
    </row>
    <row r="1130" spans="1:4" ht="14.4" customHeight="1" x14ac:dyDescent="0.3">
      <c r="A1130" s="1">
        <v>1128</v>
      </c>
      <c r="B1130">
        <v>206280</v>
      </c>
      <c r="C1130">
        <v>208511</v>
      </c>
      <c r="D1130" s="1">
        <v>0</v>
      </c>
    </row>
    <row r="1131" spans="1:4" ht="14.4" customHeight="1" x14ac:dyDescent="0.3">
      <c r="A1131" s="1">
        <v>1129</v>
      </c>
      <c r="B1131">
        <v>206280</v>
      </c>
      <c r="C1131">
        <v>222031</v>
      </c>
      <c r="D1131" s="1">
        <v>0</v>
      </c>
    </row>
    <row r="1132" spans="1:4" ht="14.4" customHeight="1" x14ac:dyDescent="0.3">
      <c r="A1132" s="1">
        <v>1130</v>
      </c>
      <c r="B1132">
        <v>206280</v>
      </c>
      <c r="C1132">
        <v>209491</v>
      </c>
      <c r="D1132" s="1">
        <v>0</v>
      </c>
    </row>
    <row r="1133" spans="1:4" ht="14.4" customHeight="1" x14ac:dyDescent="0.3">
      <c r="A1133" s="1">
        <v>1131</v>
      </c>
      <c r="B1133">
        <v>206280</v>
      </c>
      <c r="C1133">
        <v>208624</v>
      </c>
      <c r="D1133" s="1">
        <v>0</v>
      </c>
    </row>
    <row r="1134" spans="1:4" ht="14.4" customHeight="1" x14ac:dyDescent="0.3">
      <c r="A1134" s="1">
        <v>1132</v>
      </c>
      <c r="B1134">
        <v>206280</v>
      </c>
      <c r="C1134">
        <v>207259</v>
      </c>
      <c r="D1134" s="1">
        <v>0</v>
      </c>
    </row>
    <row r="1135" spans="1:4" ht="14.4" customHeight="1" x14ac:dyDescent="0.3">
      <c r="A1135" s="1">
        <v>1133</v>
      </c>
      <c r="B1135">
        <v>206280</v>
      </c>
      <c r="C1135">
        <v>208777</v>
      </c>
      <c r="D1135" s="1">
        <v>0</v>
      </c>
    </row>
    <row r="1136" spans="1:4" ht="14.4" customHeight="1" x14ac:dyDescent="0.3">
      <c r="A1136" s="1">
        <v>1134</v>
      </c>
      <c r="B1136">
        <v>205750</v>
      </c>
      <c r="C1136">
        <v>208622</v>
      </c>
      <c r="D1136" s="1">
        <v>0</v>
      </c>
    </row>
    <row r="1137" spans="1:4" ht="14.4" customHeight="1" x14ac:dyDescent="0.3">
      <c r="A1137" s="1">
        <v>1135</v>
      </c>
      <c r="B1137">
        <v>205750</v>
      </c>
      <c r="C1137">
        <v>208657</v>
      </c>
      <c r="D1137" s="1">
        <v>0</v>
      </c>
    </row>
    <row r="1138" spans="1:4" ht="14.4" customHeight="1" x14ac:dyDescent="0.3">
      <c r="A1138" s="1">
        <v>1136</v>
      </c>
      <c r="B1138">
        <v>205750</v>
      </c>
      <c r="C1138">
        <v>209385</v>
      </c>
      <c r="D1138" s="1">
        <v>0</v>
      </c>
    </row>
    <row r="1139" spans="1:4" ht="14.4" customHeight="1" x14ac:dyDescent="0.3">
      <c r="A1139" s="1">
        <v>1137</v>
      </c>
      <c r="B1139">
        <v>205750</v>
      </c>
      <c r="C1139">
        <v>205505</v>
      </c>
      <c r="D1139" s="1">
        <v>5</v>
      </c>
    </row>
    <row r="1140" spans="1:4" ht="14.4" customHeight="1" x14ac:dyDescent="0.3">
      <c r="A1140" s="1">
        <v>1138</v>
      </c>
      <c r="B1140">
        <v>205750</v>
      </c>
      <c r="C1140">
        <v>207238</v>
      </c>
      <c r="D1140" s="1">
        <v>0</v>
      </c>
    </row>
    <row r="1141" spans="1:4" ht="14.4" customHeight="1" x14ac:dyDescent="0.3">
      <c r="A1141" s="1">
        <v>1139</v>
      </c>
      <c r="B1141">
        <v>205750</v>
      </c>
      <c r="C1141">
        <v>207561</v>
      </c>
      <c r="D1141" s="1">
        <v>0</v>
      </c>
    </row>
    <row r="1142" spans="1:4" ht="14.4" customHeight="1" x14ac:dyDescent="0.3">
      <c r="A1142" s="1">
        <v>1140</v>
      </c>
      <c r="B1142">
        <v>205750</v>
      </c>
      <c r="C1142">
        <v>206872</v>
      </c>
      <c r="D1142" s="1">
        <v>0</v>
      </c>
    </row>
    <row r="1143" spans="1:4" ht="14.4" customHeight="1" x14ac:dyDescent="0.3">
      <c r="A1143" s="1">
        <v>1141</v>
      </c>
      <c r="B1143">
        <v>205750</v>
      </c>
      <c r="C1143">
        <v>208511</v>
      </c>
      <c r="D1143" s="1">
        <v>0</v>
      </c>
    </row>
    <row r="1144" spans="1:4" ht="14.4" customHeight="1" x14ac:dyDescent="0.3">
      <c r="A1144" s="1">
        <v>1142</v>
      </c>
      <c r="B1144">
        <v>205750</v>
      </c>
      <c r="C1144">
        <v>222031</v>
      </c>
      <c r="D1144" s="1">
        <v>2</v>
      </c>
    </row>
    <row r="1145" spans="1:4" ht="14.4" customHeight="1" x14ac:dyDescent="0.3">
      <c r="A1145" s="1">
        <v>1143</v>
      </c>
      <c r="B1145">
        <v>205750</v>
      </c>
      <c r="C1145">
        <v>209491</v>
      </c>
      <c r="D1145" s="1">
        <v>0</v>
      </c>
    </row>
    <row r="1146" spans="1:4" ht="14.4" customHeight="1" x14ac:dyDescent="0.3">
      <c r="A1146" s="1">
        <v>1144</v>
      </c>
      <c r="B1146">
        <v>205750</v>
      </c>
      <c r="C1146">
        <v>208624</v>
      </c>
      <c r="D1146" s="1">
        <v>0</v>
      </c>
    </row>
    <row r="1147" spans="1:4" ht="14.4" customHeight="1" x14ac:dyDescent="0.3">
      <c r="A1147" s="1">
        <v>1145</v>
      </c>
      <c r="B1147">
        <v>205750</v>
      </c>
      <c r="C1147">
        <v>207259</v>
      </c>
      <c r="D1147" s="1">
        <v>0</v>
      </c>
    </row>
    <row r="1148" spans="1:4" ht="14.4" customHeight="1" x14ac:dyDescent="0.3">
      <c r="A1148" s="1">
        <v>1146</v>
      </c>
      <c r="B1148">
        <v>205750</v>
      </c>
      <c r="C1148">
        <v>208777</v>
      </c>
      <c r="D1148" s="1">
        <v>0</v>
      </c>
    </row>
    <row r="1149" spans="1:4" ht="14.4" customHeight="1" x14ac:dyDescent="0.3">
      <c r="A1149" s="1">
        <v>1147</v>
      </c>
      <c r="B1149">
        <v>208622</v>
      </c>
      <c r="C1149">
        <v>208657</v>
      </c>
      <c r="D1149" s="1">
        <v>0</v>
      </c>
    </row>
    <row r="1150" spans="1:4" ht="14.4" customHeight="1" x14ac:dyDescent="0.3">
      <c r="A1150" s="1">
        <v>1148</v>
      </c>
      <c r="B1150">
        <v>208622</v>
      </c>
      <c r="C1150">
        <v>209385</v>
      </c>
      <c r="D1150" s="1">
        <v>0</v>
      </c>
    </row>
    <row r="1151" spans="1:4" ht="14.4" customHeight="1" x14ac:dyDescent="0.3">
      <c r="A1151" s="1">
        <v>1149</v>
      </c>
      <c r="B1151">
        <v>208622</v>
      </c>
      <c r="C1151">
        <v>205505</v>
      </c>
      <c r="D1151" s="1">
        <v>0</v>
      </c>
    </row>
    <row r="1152" spans="1:4" ht="14.4" customHeight="1" x14ac:dyDescent="0.3">
      <c r="A1152" s="1">
        <v>1150</v>
      </c>
      <c r="B1152">
        <v>208622</v>
      </c>
      <c r="C1152">
        <v>207238</v>
      </c>
      <c r="D1152" s="1">
        <v>0</v>
      </c>
    </row>
    <row r="1153" spans="1:4" ht="14.4" customHeight="1" x14ac:dyDescent="0.3">
      <c r="A1153" s="1">
        <v>1151</v>
      </c>
      <c r="B1153">
        <v>208622</v>
      </c>
      <c r="C1153">
        <v>207561</v>
      </c>
      <c r="D1153" s="1">
        <v>0</v>
      </c>
    </row>
    <row r="1154" spans="1:4" ht="14.4" customHeight="1" x14ac:dyDescent="0.3">
      <c r="A1154" s="1">
        <v>1152</v>
      </c>
      <c r="B1154">
        <v>208622</v>
      </c>
      <c r="C1154">
        <v>206872</v>
      </c>
      <c r="D1154" s="1">
        <v>0</v>
      </c>
    </row>
    <row r="1155" spans="1:4" ht="14.4" customHeight="1" x14ac:dyDescent="0.3">
      <c r="A1155" s="1">
        <v>1153</v>
      </c>
      <c r="B1155">
        <v>208622</v>
      </c>
      <c r="C1155">
        <v>208511</v>
      </c>
      <c r="D1155" s="1">
        <v>2</v>
      </c>
    </row>
    <row r="1156" spans="1:4" ht="14.4" customHeight="1" x14ac:dyDescent="0.3">
      <c r="A1156" s="1">
        <v>1154</v>
      </c>
      <c r="B1156">
        <v>208622</v>
      </c>
      <c r="C1156">
        <v>222031</v>
      </c>
      <c r="D1156" s="1">
        <v>0</v>
      </c>
    </row>
    <row r="1157" spans="1:4" ht="14.4" customHeight="1" x14ac:dyDescent="0.3">
      <c r="A1157" s="1">
        <v>1155</v>
      </c>
      <c r="B1157">
        <v>208622</v>
      </c>
      <c r="C1157">
        <v>209491</v>
      </c>
      <c r="D1157" s="1">
        <v>0</v>
      </c>
    </row>
    <row r="1158" spans="1:4" ht="14.4" customHeight="1" x14ac:dyDescent="0.3">
      <c r="A1158" s="1">
        <v>1156</v>
      </c>
      <c r="B1158">
        <v>208622</v>
      </c>
      <c r="C1158">
        <v>208624</v>
      </c>
      <c r="D1158" s="1">
        <v>5</v>
      </c>
    </row>
    <row r="1159" spans="1:4" ht="14.4" customHeight="1" x14ac:dyDescent="0.3">
      <c r="A1159" s="1">
        <v>1157</v>
      </c>
      <c r="B1159">
        <v>208622</v>
      </c>
      <c r="C1159">
        <v>207259</v>
      </c>
      <c r="D1159" s="1">
        <v>0</v>
      </c>
    </row>
    <row r="1160" spans="1:4" ht="14.4" customHeight="1" x14ac:dyDescent="0.3">
      <c r="A1160" s="1">
        <v>1158</v>
      </c>
      <c r="B1160">
        <v>208622</v>
      </c>
      <c r="C1160">
        <v>208777</v>
      </c>
      <c r="D1160" s="1">
        <v>0</v>
      </c>
    </row>
    <row r="1161" spans="1:4" ht="14.4" customHeight="1" x14ac:dyDescent="0.3">
      <c r="A1161" s="1">
        <v>1159</v>
      </c>
      <c r="B1161">
        <v>208657</v>
      </c>
      <c r="C1161">
        <v>209385</v>
      </c>
      <c r="D1161" s="1">
        <v>0</v>
      </c>
    </row>
    <row r="1162" spans="1:4" ht="14.4" customHeight="1" x14ac:dyDescent="0.3">
      <c r="A1162" s="1">
        <v>1160</v>
      </c>
      <c r="B1162">
        <v>208657</v>
      </c>
      <c r="C1162">
        <v>205505</v>
      </c>
      <c r="D1162" s="1">
        <v>0</v>
      </c>
    </row>
    <row r="1163" spans="1:4" ht="14.4" customHeight="1" x14ac:dyDescent="0.3">
      <c r="A1163" s="1">
        <v>1161</v>
      </c>
      <c r="B1163">
        <v>208657</v>
      </c>
      <c r="C1163">
        <v>207238</v>
      </c>
      <c r="D1163" s="1">
        <v>0</v>
      </c>
    </row>
    <row r="1164" spans="1:4" ht="14.4" customHeight="1" x14ac:dyDescent="0.3">
      <c r="A1164" s="1">
        <v>1162</v>
      </c>
      <c r="B1164">
        <v>208657</v>
      </c>
      <c r="C1164">
        <v>207561</v>
      </c>
      <c r="D1164" s="1">
        <v>0</v>
      </c>
    </row>
    <row r="1165" spans="1:4" ht="14.4" customHeight="1" x14ac:dyDescent="0.3">
      <c r="A1165" s="1">
        <v>1163</v>
      </c>
      <c r="B1165">
        <v>208657</v>
      </c>
      <c r="C1165">
        <v>206872</v>
      </c>
      <c r="D1165" s="1">
        <v>0</v>
      </c>
    </row>
    <row r="1166" spans="1:4" ht="14.4" customHeight="1" x14ac:dyDescent="0.3">
      <c r="A1166" s="1">
        <v>1164</v>
      </c>
      <c r="B1166">
        <v>208657</v>
      </c>
      <c r="C1166">
        <v>208511</v>
      </c>
      <c r="D1166" s="1">
        <v>5</v>
      </c>
    </row>
    <row r="1167" spans="1:4" ht="14.4" customHeight="1" x14ac:dyDescent="0.3">
      <c r="A1167" s="1">
        <v>1165</v>
      </c>
      <c r="B1167">
        <v>208657</v>
      </c>
      <c r="C1167">
        <v>222031</v>
      </c>
      <c r="D1167" s="1">
        <v>0</v>
      </c>
    </row>
    <row r="1168" spans="1:4" ht="14.4" customHeight="1" x14ac:dyDescent="0.3">
      <c r="A1168" s="1">
        <v>1166</v>
      </c>
      <c r="B1168">
        <v>208657</v>
      </c>
      <c r="C1168">
        <v>209491</v>
      </c>
      <c r="D1168" s="1">
        <v>0</v>
      </c>
    </row>
    <row r="1169" spans="1:7" ht="14.4" customHeight="1" x14ac:dyDescent="0.3">
      <c r="A1169" s="1">
        <v>1167</v>
      </c>
      <c r="B1169">
        <v>208657</v>
      </c>
      <c r="C1169">
        <v>208624</v>
      </c>
      <c r="D1169" s="1">
        <v>0</v>
      </c>
    </row>
    <row r="1170" spans="1:7" ht="14.4" customHeight="1" x14ac:dyDescent="0.3">
      <c r="A1170" s="1">
        <v>1168</v>
      </c>
      <c r="B1170">
        <v>208657</v>
      </c>
      <c r="C1170">
        <v>207259</v>
      </c>
      <c r="D1170" s="1">
        <v>0</v>
      </c>
    </row>
    <row r="1171" spans="1:7" ht="14.4" customHeight="1" x14ac:dyDescent="0.3">
      <c r="A1171" s="1">
        <v>1169</v>
      </c>
      <c r="B1171">
        <v>208657</v>
      </c>
      <c r="C1171">
        <v>208777</v>
      </c>
      <c r="D1171" s="1">
        <v>5</v>
      </c>
    </row>
    <row r="1172" spans="1:7" ht="14.4" customHeight="1" x14ac:dyDescent="0.3">
      <c r="A1172" s="1">
        <v>1170</v>
      </c>
      <c r="B1172">
        <v>209385</v>
      </c>
      <c r="C1172">
        <v>205505</v>
      </c>
      <c r="D1172" s="1">
        <v>0</v>
      </c>
    </row>
    <row r="1173" spans="1:7" ht="14.4" customHeight="1" x14ac:dyDescent="0.3">
      <c r="A1173" s="1">
        <v>1171</v>
      </c>
      <c r="B1173">
        <v>209385</v>
      </c>
      <c r="C1173">
        <v>207238</v>
      </c>
      <c r="D1173" s="1">
        <v>0</v>
      </c>
      <c r="F1173">
        <v>0</v>
      </c>
      <c r="G1173">
        <f>COUNTIF(D$2:D$1226,F1173)</f>
        <v>1094</v>
      </c>
    </row>
    <row r="1174" spans="1:7" ht="14.4" customHeight="1" x14ac:dyDescent="0.3">
      <c r="A1174" s="1">
        <v>1172</v>
      </c>
      <c r="B1174">
        <v>209385</v>
      </c>
      <c r="C1174">
        <v>207561</v>
      </c>
      <c r="D1174" s="1">
        <v>0</v>
      </c>
      <c r="F1174">
        <v>1</v>
      </c>
      <c r="G1174">
        <f t="shared" ref="G1174:G1178" si="0">COUNTIF(D$2:D$1226,F1174)</f>
        <v>29</v>
      </c>
    </row>
    <row r="1175" spans="1:7" ht="14.4" customHeight="1" x14ac:dyDescent="0.3">
      <c r="A1175" s="1">
        <v>1173</v>
      </c>
      <c r="B1175">
        <v>209385</v>
      </c>
      <c r="C1175">
        <v>206872</v>
      </c>
      <c r="D1175" s="1">
        <v>0</v>
      </c>
      <c r="F1175">
        <v>2</v>
      </c>
      <c r="G1175">
        <f t="shared" si="0"/>
        <v>21</v>
      </c>
    </row>
    <row r="1176" spans="1:7" ht="14.4" customHeight="1" x14ac:dyDescent="0.3">
      <c r="A1176" s="1">
        <v>1174</v>
      </c>
      <c r="B1176">
        <v>209385</v>
      </c>
      <c r="C1176">
        <v>208511</v>
      </c>
      <c r="D1176" s="1">
        <v>0</v>
      </c>
      <c r="F1176">
        <v>3</v>
      </c>
      <c r="G1176">
        <f t="shared" si="0"/>
        <v>23</v>
      </c>
    </row>
    <row r="1177" spans="1:7" ht="14.4" customHeight="1" x14ac:dyDescent="0.3">
      <c r="A1177" s="1">
        <v>1175</v>
      </c>
      <c r="B1177">
        <v>209385</v>
      </c>
      <c r="C1177">
        <v>222031</v>
      </c>
      <c r="D1177" s="1">
        <v>0</v>
      </c>
      <c r="F1177">
        <v>4</v>
      </c>
      <c r="G1177">
        <f t="shared" si="0"/>
        <v>17</v>
      </c>
    </row>
    <row r="1178" spans="1:7" ht="14.4" customHeight="1" x14ac:dyDescent="0.3">
      <c r="A1178" s="1">
        <v>1176</v>
      </c>
      <c r="B1178">
        <v>209385</v>
      </c>
      <c r="C1178">
        <v>209491</v>
      </c>
      <c r="D1178" s="1">
        <v>5</v>
      </c>
      <c r="F1178">
        <v>5</v>
      </c>
      <c r="G1178">
        <f t="shared" si="0"/>
        <v>41</v>
      </c>
    </row>
    <row r="1179" spans="1:7" ht="14.4" customHeight="1" x14ac:dyDescent="0.3">
      <c r="A1179" s="1">
        <v>1177</v>
      </c>
      <c r="B1179">
        <v>209385</v>
      </c>
      <c r="C1179">
        <v>208624</v>
      </c>
      <c r="D1179" s="1">
        <v>0</v>
      </c>
    </row>
    <row r="1180" spans="1:7" ht="14.4" customHeight="1" x14ac:dyDescent="0.3">
      <c r="A1180" s="1">
        <v>1178</v>
      </c>
      <c r="B1180">
        <v>209385</v>
      </c>
      <c r="C1180">
        <v>207259</v>
      </c>
      <c r="D1180" s="1">
        <v>0</v>
      </c>
      <c r="F1180" s="9" t="s">
        <v>133</v>
      </c>
      <c r="G1180">
        <f>SUM(G1174:G1178)</f>
        <v>131</v>
      </c>
    </row>
    <row r="1181" spans="1:7" ht="14.4" customHeight="1" x14ac:dyDescent="0.3">
      <c r="A1181" s="1">
        <v>1179</v>
      </c>
      <c r="B1181">
        <v>209385</v>
      </c>
      <c r="C1181">
        <v>208777</v>
      </c>
      <c r="D1181" s="1">
        <v>0</v>
      </c>
    </row>
    <row r="1182" spans="1:7" ht="14.4" customHeight="1" x14ac:dyDescent="0.3">
      <c r="A1182" s="1">
        <v>1180</v>
      </c>
      <c r="B1182">
        <v>205505</v>
      </c>
      <c r="C1182">
        <v>207238</v>
      </c>
      <c r="D1182" s="1">
        <v>0</v>
      </c>
    </row>
    <row r="1183" spans="1:7" ht="14.4" customHeight="1" x14ac:dyDescent="0.3">
      <c r="A1183" s="1">
        <v>1181</v>
      </c>
      <c r="B1183">
        <v>205505</v>
      </c>
      <c r="C1183">
        <v>207561</v>
      </c>
      <c r="D1183" s="1">
        <v>0</v>
      </c>
    </row>
    <row r="1184" spans="1:7" ht="14.4" customHeight="1" x14ac:dyDescent="0.3">
      <c r="A1184" s="1">
        <v>1182</v>
      </c>
      <c r="B1184">
        <v>205505</v>
      </c>
      <c r="C1184">
        <v>206872</v>
      </c>
      <c r="D1184" s="1">
        <v>0</v>
      </c>
    </row>
    <row r="1185" spans="1:4" ht="14.4" customHeight="1" x14ac:dyDescent="0.3">
      <c r="A1185" s="1">
        <v>1183</v>
      </c>
      <c r="B1185">
        <v>205505</v>
      </c>
      <c r="C1185">
        <v>208511</v>
      </c>
      <c r="D1185" s="1">
        <v>0</v>
      </c>
    </row>
    <row r="1186" spans="1:4" ht="14.4" customHeight="1" x14ac:dyDescent="0.3">
      <c r="A1186" s="1">
        <v>1184</v>
      </c>
      <c r="B1186">
        <v>205505</v>
      </c>
      <c r="C1186">
        <v>222031</v>
      </c>
      <c r="D1186" s="1">
        <v>1</v>
      </c>
    </row>
    <row r="1187" spans="1:4" ht="14.4" customHeight="1" x14ac:dyDescent="0.3">
      <c r="A1187" s="1">
        <v>1185</v>
      </c>
      <c r="B1187">
        <v>205505</v>
      </c>
      <c r="C1187">
        <v>209491</v>
      </c>
      <c r="D1187" s="1">
        <v>0</v>
      </c>
    </row>
    <row r="1188" spans="1:4" ht="14.4" customHeight="1" x14ac:dyDescent="0.3">
      <c r="A1188" s="1">
        <v>1186</v>
      </c>
      <c r="B1188">
        <v>205505</v>
      </c>
      <c r="C1188">
        <v>208624</v>
      </c>
      <c r="D1188" s="1">
        <v>0</v>
      </c>
    </row>
    <row r="1189" spans="1:4" ht="14.4" customHeight="1" x14ac:dyDescent="0.3">
      <c r="A1189" s="1">
        <v>1187</v>
      </c>
      <c r="B1189">
        <v>205505</v>
      </c>
      <c r="C1189">
        <v>207259</v>
      </c>
      <c r="D1189" s="1">
        <v>0</v>
      </c>
    </row>
    <row r="1190" spans="1:4" ht="14.4" customHeight="1" x14ac:dyDescent="0.3">
      <c r="A1190" s="1">
        <v>1188</v>
      </c>
      <c r="B1190">
        <v>205505</v>
      </c>
      <c r="C1190">
        <v>208777</v>
      </c>
      <c r="D1190" s="1">
        <v>0</v>
      </c>
    </row>
    <row r="1191" spans="1:4" ht="14.4" customHeight="1" x14ac:dyDescent="0.3">
      <c r="A1191" s="1">
        <v>1189</v>
      </c>
      <c r="B1191">
        <v>207238</v>
      </c>
      <c r="C1191">
        <v>207561</v>
      </c>
      <c r="D1191" s="1">
        <v>0</v>
      </c>
    </row>
    <row r="1192" spans="1:4" ht="14.4" customHeight="1" x14ac:dyDescent="0.3">
      <c r="A1192" s="1">
        <v>1190</v>
      </c>
      <c r="B1192">
        <v>207238</v>
      </c>
      <c r="C1192">
        <v>206872</v>
      </c>
      <c r="D1192" s="1">
        <v>0</v>
      </c>
    </row>
    <row r="1193" spans="1:4" ht="14.4" customHeight="1" x14ac:dyDescent="0.3">
      <c r="A1193" s="1">
        <v>1191</v>
      </c>
      <c r="B1193">
        <v>207238</v>
      </c>
      <c r="C1193">
        <v>208511</v>
      </c>
      <c r="D1193" s="1">
        <v>0</v>
      </c>
    </row>
    <row r="1194" spans="1:4" ht="14.4" customHeight="1" x14ac:dyDescent="0.3">
      <c r="A1194" s="1">
        <v>1192</v>
      </c>
      <c r="B1194">
        <v>207238</v>
      </c>
      <c r="C1194">
        <v>222031</v>
      </c>
      <c r="D1194" s="1">
        <v>0</v>
      </c>
    </row>
    <row r="1195" spans="1:4" ht="14.4" customHeight="1" x14ac:dyDescent="0.3">
      <c r="A1195" s="1">
        <v>1193</v>
      </c>
      <c r="B1195">
        <v>207238</v>
      </c>
      <c r="C1195">
        <v>209491</v>
      </c>
      <c r="D1195" s="1">
        <v>0</v>
      </c>
    </row>
    <row r="1196" spans="1:4" ht="14.4" customHeight="1" x14ac:dyDescent="0.3">
      <c r="A1196" s="1">
        <v>1194</v>
      </c>
      <c r="B1196">
        <v>207238</v>
      </c>
      <c r="C1196">
        <v>208624</v>
      </c>
      <c r="D1196" s="1">
        <v>0</v>
      </c>
    </row>
    <row r="1197" spans="1:4" ht="14.4" customHeight="1" x14ac:dyDescent="0.3">
      <c r="A1197" s="1">
        <v>1195</v>
      </c>
      <c r="B1197">
        <v>207238</v>
      </c>
      <c r="C1197">
        <v>207259</v>
      </c>
      <c r="D1197" s="1">
        <v>0</v>
      </c>
    </row>
    <row r="1198" spans="1:4" ht="14.4" customHeight="1" x14ac:dyDescent="0.3">
      <c r="A1198" s="1">
        <v>1196</v>
      </c>
      <c r="B1198">
        <v>207238</v>
      </c>
      <c r="C1198">
        <v>208777</v>
      </c>
      <c r="D1198" s="1">
        <v>0</v>
      </c>
    </row>
    <row r="1199" spans="1:4" ht="14.4" customHeight="1" x14ac:dyDescent="0.3">
      <c r="A1199" s="1">
        <v>1197</v>
      </c>
      <c r="B1199">
        <v>207561</v>
      </c>
      <c r="C1199">
        <v>206872</v>
      </c>
      <c r="D1199" s="1">
        <v>0</v>
      </c>
    </row>
    <row r="1200" spans="1:4" ht="14.4" customHeight="1" x14ac:dyDescent="0.3">
      <c r="A1200" s="1">
        <v>1198</v>
      </c>
      <c r="B1200">
        <v>207561</v>
      </c>
      <c r="C1200">
        <v>208511</v>
      </c>
      <c r="D1200" s="1">
        <v>0</v>
      </c>
    </row>
    <row r="1201" spans="1:4" ht="14.4" customHeight="1" x14ac:dyDescent="0.3">
      <c r="A1201" s="1">
        <v>1199</v>
      </c>
      <c r="B1201">
        <v>207561</v>
      </c>
      <c r="C1201">
        <v>222031</v>
      </c>
      <c r="D1201" s="1">
        <v>0</v>
      </c>
    </row>
    <row r="1202" spans="1:4" ht="14.4" customHeight="1" x14ac:dyDescent="0.3">
      <c r="A1202" s="1">
        <v>1200</v>
      </c>
      <c r="B1202">
        <v>207561</v>
      </c>
      <c r="C1202">
        <v>209491</v>
      </c>
      <c r="D1202" s="1">
        <v>0</v>
      </c>
    </row>
    <row r="1203" spans="1:4" ht="14.4" customHeight="1" x14ac:dyDescent="0.3">
      <c r="A1203" s="1">
        <v>1201</v>
      </c>
      <c r="B1203">
        <v>207561</v>
      </c>
      <c r="C1203">
        <v>208624</v>
      </c>
      <c r="D1203" s="1">
        <v>0</v>
      </c>
    </row>
    <row r="1204" spans="1:4" ht="14.4" customHeight="1" x14ac:dyDescent="0.3">
      <c r="A1204" s="1">
        <v>1202</v>
      </c>
      <c r="B1204">
        <v>207561</v>
      </c>
      <c r="C1204">
        <v>207259</v>
      </c>
      <c r="D1204" s="1">
        <v>5</v>
      </c>
    </row>
    <row r="1205" spans="1:4" ht="14.4" customHeight="1" x14ac:dyDescent="0.3">
      <c r="A1205" s="1">
        <v>1203</v>
      </c>
      <c r="B1205">
        <v>207561</v>
      </c>
      <c r="C1205">
        <v>208777</v>
      </c>
      <c r="D1205" s="1">
        <v>0</v>
      </c>
    </row>
    <row r="1206" spans="1:4" ht="14.4" customHeight="1" x14ac:dyDescent="0.3">
      <c r="A1206" s="1">
        <v>1204</v>
      </c>
      <c r="B1206">
        <v>206872</v>
      </c>
      <c r="C1206">
        <v>208511</v>
      </c>
      <c r="D1206" s="1">
        <v>0</v>
      </c>
    </row>
    <row r="1207" spans="1:4" ht="14.4" customHeight="1" x14ac:dyDescent="0.3">
      <c r="A1207" s="1">
        <v>1205</v>
      </c>
      <c r="B1207">
        <v>206872</v>
      </c>
      <c r="C1207">
        <v>222031</v>
      </c>
      <c r="D1207" s="1">
        <v>0</v>
      </c>
    </row>
    <row r="1208" spans="1:4" ht="14.4" customHeight="1" x14ac:dyDescent="0.3">
      <c r="A1208" s="1">
        <v>1206</v>
      </c>
      <c r="B1208">
        <v>206872</v>
      </c>
      <c r="C1208">
        <v>209491</v>
      </c>
      <c r="D1208" s="1">
        <v>0</v>
      </c>
    </row>
    <row r="1209" spans="1:4" ht="14.4" customHeight="1" x14ac:dyDescent="0.3">
      <c r="A1209" s="1">
        <v>1207</v>
      </c>
      <c r="B1209">
        <v>206872</v>
      </c>
      <c r="C1209">
        <v>208624</v>
      </c>
      <c r="D1209" s="1">
        <v>0</v>
      </c>
    </row>
    <row r="1210" spans="1:4" ht="14.4" customHeight="1" x14ac:dyDescent="0.3">
      <c r="A1210" s="1">
        <v>1208</v>
      </c>
      <c r="B1210">
        <v>206872</v>
      </c>
      <c r="C1210">
        <v>207259</v>
      </c>
      <c r="D1210" s="1">
        <v>0</v>
      </c>
    </row>
    <row r="1211" spans="1:4" ht="14.4" customHeight="1" x14ac:dyDescent="0.3">
      <c r="A1211" s="1">
        <v>1209</v>
      </c>
      <c r="B1211">
        <v>206872</v>
      </c>
      <c r="C1211">
        <v>208777</v>
      </c>
      <c r="D1211" s="1">
        <v>0</v>
      </c>
    </row>
    <row r="1212" spans="1:4" ht="14.4" customHeight="1" x14ac:dyDescent="0.3">
      <c r="A1212" s="1">
        <v>1210</v>
      </c>
      <c r="B1212">
        <v>208511</v>
      </c>
      <c r="C1212">
        <v>222031</v>
      </c>
      <c r="D1212" s="1">
        <v>0</v>
      </c>
    </row>
    <row r="1213" spans="1:4" ht="14.4" customHeight="1" x14ac:dyDescent="0.3">
      <c r="A1213" s="1">
        <v>1211</v>
      </c>
      <c r="B1213">
        <v>208511</v>
      </c>
      <c r="C1213">
        <v>209491</v>
      </c>
      <c r="D1213" s="1">
        <v>0</v>
      </c>
    </row>
    <row r="1214" spans="1:4" ht="14.4" customHeight="1" x14ac:dyDescent="0.3">
      <c r="A1214" s="1">
        <v>1212</v>
      </c>
      <c r="B1214">
        <v>208511</v>
      </c>
      <c r="C1214">
        <v>208624</v>
      </c>
      <c r="D1214" s="1">
        <v>2</v>
      </c>
    </row>
    <row r="1215" spans="1:4" ht="14.4" customHeight="1" x14ac:dyDescent="0.3">
      <c r="A1215" s="1">
        <v>1213</v>
      </c>
      <c r="B1215">
        <v>208511</v>
      </c>
      <c r="C1215">
        <v>207259</v>
      </c>
      <c r="D1215" s="1">
        <v>0</v>
      </c>
    </row>
    <row r="1216" spans="1:4" ht="14.4" customHeight="1" x14ac:dyDescent="0.3">
      <c r="A1216" s="1">
        <v>1214</v>
      </c>
      <c r="B1216">
        <v>208511</v>
      </c>
      <c r="C1216">
        <v>208777</v>
      </c>
      <c r="D1216" s="1">
        <v>5</v>
      </c>
    </row>
    <row r="1217" spans="1:4" ht="14.4" customHeight="1" x14ac:dyDescent="0.3">
      <c r="A1217" s="1">
        <v>1215</v>
      </c>
      <c r="B1217">
        <v>222031</v>
      </c>
      <c r="C1217">
        <v>209491</v>
      </c>
      <c r="D1217" s="1">
        <v>0</v>
      </c>
    </row>
    <row r="1218" spans="1:4" ht="14.4" customHeight="1" x14ac:dyDescent="0.3">
      <c r="A1218" s="1">
        <v>1216</v>
      </c>
      <c r="B1218">
        <v>222031</v>
      </c>
      <c r="C1218">
        <v>208624</v>
      </c>
      <c r="D1218" s="1">
        <v>0</v>
      </c>
    </row>
    <row r="1219" spans="1:4" ht="14.4" customHeight="1" x14ac:dyDescent="0.3">
      <c r="A1219" s="1">
        <v>1217</v>
      </c>
      <c r="B1219">
        <v>222031</v>
      </c>
      <c r="C1219">
        <v>207259</v>
      </c>
      <c r="D1219" s="1">
        <v>0</v>
      </c>
    </row>
    <row r="1220" spans="1:4" ht="14.4" customHeight="1" x14ac:dyDescent="0.3">
      <c r="A1220" s="1">
        <v>1218</v>
      </c>
      <c r="B1220">
        <v>222031</v>
      </c>
      <c r="C1220">
        <v>208777</v>
      </c>
      <c r="D1220" s="1">
        <v>0</v>
      </c>
    </row>
    <row r="1221" spans="1:4" ht="14.4" customHeight="1" x14ac:dyDescent="0.3">
      <c r="A1221" s="1">
        <v>1219</v>
      </c>
      <c r="B1221">
        <v>209491</v>
      </c>
      <c r="C1221">
        <v>208624</v>
      </c>
      <c r="D1221" s="1">
        <v>0</v>
      </c>
    </row>
    <row r="1222" spans="1:4" ht="14.4" customHeight="1" x14ac:dyDescent="0.3">
      <c r="A1222" s="1">
        <v>1220</v>
      </c>
      <c r="B1222">
        <v>209491</v>
      </c>
      <c r="C1222">
        <v>207259</v>
      </c>
      <c r="D1222" s="1">
        <v>0</v>
      </c>
    </row>
    <row r="1223" spans="1:4" ht="14.4" customHeight="1" x14ac:dyDescent="0.3">
      <c r="A1223" s="1">
        <v>1221</v>
      </c>
      <c r="B1223">
        <v>209491</v>
      </c>
      <c r="C1223">
        <v>208777</v>
      </c>
      <c r="D1223" s="1">
        <v>0</v>
      </c>
    </row>
    <row r="1224" spans="1:4" ht="14.4" customHeight="1" x14ac:dyDescent="0.3">
      <c r="A1224" s="1">
        <v>1222</v>
      </c>
      <c r="B1224">
        <v>208624</v>
      </c>
      <c r="C1224">
        <v>207259</v>
      </c>
      <c r="D1224" s="1">
        <v>0</v>
      </c>
    </row>
    <row r="1225" spans="1:4" ht="14.4" customHeight="1" x14ac:dyDescent="0.3">
      <c r="A1225" s="1">
        <v>1223</v>
      </c>
      <c r="B1225">
        <v>208624</v>
      </c>
      <c r="C1225">
        <v>208777</v>
      </c>
      <c r="D1225" s="1">
        <v>2</v>
      </c>
    </row>
    <row r="1226" spans="1:4" ht="14.4" customHeight="1" x14ac:dyDescent="0.3">
      <c r="A1226" s="1">
        <v>1224</v>
      </c>
      <c r="B1226">
        <v>207259</v>
      </c>
      <c r="C1226">
        <v>208777</v>
      </c>
      <c r="D1226" s="1">
        <v>0</v>
      </c>
    </row>
  </sheetData>
  <autoFilter ref="B1:C1226" xr:uid="{817AA4DA-9829-4F27-94F7-85438A477CE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668DE-3805-4C2C-8EB9-23D9EB6053DF}">
  <sheetPr codeName="shData"/>
  <dimension ref="A1:F51"/>
  <sheetViews>
    <sheetView workbookViewId="0">
      <selection activeCell="A2" sqref="A2"/>
    </sheetView>
  </sheetViews>
  <sheetFormatPr defaultColWidth="8.88671875" defaultRowHeight="14.4" customHeight="1" x14ac:dyDescent="0.3"/>
  <cols>
    <col min="1" max="2" width="8.88671875" style="2"/>
    <col min="3" max="3" width="12.6640625" style="2" bestFit="1" customWidth="1"/>
    <col min="4" max="4" width="18" style="2" customWidth="1"/>
    <col min="5" max="5" width="8.88671875" style="2"/>
    <col min="6" max="6" width="11.6640625" style="2" bestFit="1" customWidth="1"/>
    <col min="7" max="16384" width="8.88671875" style="2"/>
  </cols>
  <sheetData>
    <row r="1" spans="1:6" ht="14.4" customHeight="1" x14ac:dyDescent="0.3">
      <c r="A1" s="3" t="s">
        <v>0</v>
      </c>
      <c r="B1" s="3" t="s">
        <v>1</v>
      </c>
      <c r="C1" s="3" t="s">
        <v>2</v>
      </c>
      <c r="D1" s="3" t="s">
        <v>3</v>
      </c>
      <c r="F1" s="3" t="s">
        <v>4</v>
      </c>
    </row>
    <row r="2" spans="1:6" ht="14.4" customHeight="1" x14ac:dyDescent="0.3">
      <c r="A2">
        <v>206693</v>
      </c>
      <c r="B2" t="s">
        <v>12</v>
      </c>
      <c r="C2" t="s">
        <v>13</v>
      </c>
      <c r="D2" t="s">
        <v>14</v>
      </c>
      <c r="F2" s="5">
        <v>0</v>
      </c>
    </row>
    <row r="3" spans="1:6" ht="14.4" customHeight="1" x14ac:dyDescent="0.3">
      <c r="A3">
        <v>206718</v>
      </c>
      <c r="B3" t="s">
        <v>15</v>
      </c>
      <c r="C3" t="s">
        <v>16</v>
      </c>
      <c r="D3" t="s">
        <v>17</v>
      </c>
      <c r="F3" s="5">
        <v>1</v>
      </c>
    </row>
    <row r="4" spans="1:6" ht="14.4" customHeight="1" x14ac:dyDescent="0.3">
      <c r="A4">
        <v>206706</v>
      </c>
      <c r="B4" t="s">
        <v>18</v>
      </c>
      <c r="C4" t="s">
        <v>19</v>
      </c>
      <c r="D4" t="s">
        <v>20</v>
      </c>
      <c r="F4" s="5">
        <v>2</v>
      </c>
    </row>
    <row r="5" spans="1:6" ht="14.4" customHeight="1" x14ac:dyDescent="0.3">
      <c r="A5">
        <v>205891</v>
      </c>
      <c r="B5" t="s">
        <v>21</v>
      </c>
      <c r="C5" t="s">
        <v>22</v>
      </c>
      <c r="D5" t="s">
        <v>23</v>
      </c>
      <c r="F5" s="5">
        <v>3</v>
      </c>
    </row>
    <row r="6" spans="1:6" ht="14.4" customHeight="1" x14ac:dyDescent="0.3">
      <c r="A6">
        <v>205662</v>
      </c>
      <c r="B6" t="s">
        <v>24</v>
      </c>
      <c r="C6" t="s">
        <v>25</v>
      </c>
      <c r="D6" t="s">
        <v>26</v>
      </c>
      <c r="F6" s="5">
        <v>4</v>
      </c>
    </row>
    <row r="7" spans="1:6" ht="14.4" customHeight="1" x14ac:dyDescent="0.3">
      <c r="A7">
        <v>222053</v>
      </c>
      <c r="B7" t="s">
        <v>18</v>
      </c>
      <c r="C7" t="s">
        <v>27</v>
      </c>
      <c r="D7" t="s">
        <v>28</v>
      </c>
      <c r="F7" s="5">
        <v>5</v>
      </c>
    </row>
    <row r="8" spans="1:6" ht="14.4" customHeight="1" x14ac:dyDescent="0.3">
      <c r="A8">
        <v>222078</v>
      </c>
      <c r="B8" t="s">
        <v>29</v>
      </c>
      <c r="C8" t="s">
        <v>30</v>
      </c>
      <c r="D8" t="s">
        <v>31</v>
      </c>
      <c r="F8" s="5"/>
    </row>
    <row r="9" spans="1:6" ht="14.4" customHeight="1" x14ac:dyDescent="0.3">
      <c r="A9">
        <v>205269</v>
      </c>
      <c r="B9" t="s">
        <v>32</v>
      </c>
      <c r="C9" t="s">
        <v>33</v>
      </c>
      <c r="D9" t="s">
        <v>34</v>
      </c>
      <c r="F9" s="5"/>
    </row>
    <row r="10" spans="1:6" ht="14.4" customHeight="1" x14ac:dyDescent="0.3">
      <c r="A10">
        <v>209506</v>
      </c>
      <c r="B10" t="s">
        <v>18</v>
      </c>
      <c r="C10" t="s">
        <v>35</v>
      </c>
      <c r="D10" t="s">
        <v>36</v>
      </c>
      <c r="F10" s="5"/>
    </row>
    <row r="11" spans="1:6" ht="14.4" customHeight="1" x14ac:dyDescent="0.3">
      <c r="A11">
        <v>208480</v>
      </c>
      <c r="B11" t="s">
        <v>37</v>
      </c>
      <c r="C11" t="s">
        <v>38</v>
      </c>
      <c r="D11" t="s">
        <v>39</v>
      </c>
      <c r="F11" s="5"/>
    </row>
    <row r="12" spans="1:6" ht="14.4" customHeight="1" x14ac:dyDescent="0.3">
      <c r="A12">
        <v>207468</v>
      </c>
      <c r="B12" t="s">
        <v>15</v>
      </c>
      <c r="C12" t="s">
        <v>40</v>
      </c>
      <c r="D12" t="s">
        <v>41</v>
      </c>
    </row>
    <row r="13" spans="1:6" ht="14.4" customHeight="1" x14ac:dyDescent="0.3">
      <c r="A13">
        <v>208011</v>
      </c>
      <c r="B13" t="s">
        <v>12</v>
      </c>
      <c r="C13" t="s">
        <v>42</v>
      </c>
      <c r="D13" t="s">
        <v>43</v>
      </c>
    </row>
    <row r="14" spans="1:6" ht="14.4" customHeight="1" x14ac:dyDescent="0.3">
      <c r="A14">
        <v>208596</v>
      </c>
      <c r="B14" t="s">
        <v>44</v>
      </c>
      <c r="C14" t="s">
        <v>45</v>
      </c>
      <c r="D14" t="s">
        <v>46</v>
      </c>
    </row>
    <row r="15" spans="1:6" ht="14.4" customHeight="1" x14ac:dyDescent="0.3">
      <c r="A15">
        <v>207967</v>
      </c>
      <c r="B15" t="s">
        <v>47</v>
      </c>
      <c r="C15" t="s">
        <v>48</v>
      </c>
      <c r="D15" t="s">
        <v>49</v>
      </c>
    </row>
    <row r="16" spans="1:6" ht="14.4" customHeight="1" x14ac:dyDescent="0.3">
      <c r="A16">
        <v>222079</v>
      </c>
      <c r="B16" t="s">
        <v>50</v>
      </c>
      <c r="C16" t="s">
        <v>51</v>
      </c>
      <c r="D16" t="s">
        <v>52</v>
      </c>
    </row>
    <row r="17" spans="1:4" ht="14.4" customHeight="1" x14ac:dyDescent="0.3">
      <c r="A17">
        <v>207633</v>
      </c>
      <c r="B17" t="s">
        <v>53</v>
      </c>
      <c r="C17" t="s">
        <v>54</v>
      </c>
      <c r="D17" t="s">
        <v>55</v>
      </c>
    </row>
    <row r="18" spans="1:4" ht="14.4" customHeight="1" x14ac:dyDescent="0.3">
      <c r="A18">
        <v>206764</v>
      </c>
      <c r="B18" t="s">
        <v>56</v>
      </c>
      <c r="C18" t="s">
        <v>57</v>
      </c>
      <c r="D18" t="s">
        <v>58</v>
      </c>
    </row>
    <row r="19" spans="1:4" ht="14.4" customHeight="1" x14ac:dyDescent="0.3">
      <c r="A19">
        <v>222054</v>
      </c>
      <c r="B19" t="s">
        <v>59</v>
      </c>
      <c r="C19" t="s">
        <v>60</v>
      </c>
      <c r="D19" t="s">
        <v>28</v>
      </c>
    </row>
    <row r="20" spans="1:4" ht="14.4" customHeight="1" x14ac:dyDescent="0.3">
      <c r="A20">
        <v>209176</v>
      </c>
      <c r="B20" t="s">
        <v>61</v>
      </c>
      <c r="C20" t="s">
        <v>62</v>
      </c>
      <c r="D20" t="s">
        <v>63</v>
      </c>
    </row>
    <row r="21" spans="1:4" ht="14.4" customHeight="1" x14ac:dyDescent="0.3">
      <c r="A21">
        <v>205075</v>
      </c>
      <c r="B21" t="s">
        <v>64</v>
      </c>
      <c r="C21" t="s">
        <v>65</v>
      </c>
      <c r="D21" t="s">
        <v>66</v>
      </c>
    </row>
    <row r="22" spans="1:4" ht="14.4" customHeight="1" x14ac:dyDescent="0.3">
      <c r="A22">
        <v>206937</v>
      </c>
      <c r="B22" t="s">
        <v>50</v>
      </c>
      <c r="C22" t="s">
        <v>67</v>
      </c>
      <c r="D22" t="s">
        <v>68</v>
      </c>
    </row>
    <row r="23" spans="1:4" ht="14.4" customHeight="1" x14ac:dyDescent="0.3">
      <c r="A23">
        <v>207758</v>
      </c>
      <c r="B23" t="s">
        <v>69</v>
      </c>
      <c r="C23" t="s">
        <v>70</v>
      </c>
      <c r="D23" t="s">
        <v>71</v>
      </c>
    </row>
    <row r="24" spans="1:4" ht="14.4" customHeight="1" x14ac:dyDescent="0.3">
      <c r="A24">
        <v>208043</v>
      </c>
      <c r="B24" t="s">
        <v>69</v>
      </c>
      <c r="C24" t="s">
        <v>72</v>
      </c>
      <c r="D24" t="s">
        <v>73</v>
      </c>
    </row>
    <row r="25" spans="1:4" ht="14.4" customHeight="1" x14ac:dyDescent="0.3">
      <c r="A25">
        <v>206905</v>
      </c>
      <c r="B25" t="s">
        <v>74</v>
      </c>
      <c r="C25" t="s">
        <v>27</v>
      </c>
      <c r="D25" t="s">
        <v>75</v>
      </c>
    </row>
    <row r="26" spans="1:4" ht="14.4" customHeight="1" x14ac:dyDescent="0.3">
      <c r="A26">
        <v>222044</v>
      </c>
      <c r="B26" t="s">
        <v>76</v>
      </c>
      <c r="C26" t="s">
        <v>77</v>
      </c>
      <c r="D26" t="s">
        <v>78</v>
      </c>
    </row>
    <row r="27" spans="1:4" ht="14.4" customHeight="1" x14ac:dyDescent="0.3">
      <c r="A27">
        <v>206770</v>
      </c>
      <c r="B27" t="s">
        <v>79</v>
      </c>
      <c r="C27" t="s">
        <v>80</v>
      </c>
      <c r="D27" t="s">
        <v>81</v>
      </c>
    </row>
    <row r="28" spans="1:4" ht="14.4" customHeight="1" x14ac:dyDescent="0.3">
      <c r="A28">
        <v>206841</v>
      </c>
      <c r="B28" t="s">
        <v>74</v>
      </c>
      <c r="C28" t="s">
        <v>82</v>
      </c>
      <c r="D28" t="s">
        <v>83</v>
      </c>
    </row>
    <row r="29" spans="1:4" ht="14.4" customHeight="1" x14ac:dyDescent="0.3">
      <c r="A29">
        <v>209266</v>
      </c>
      <c r="B29" t="s">
        <v>12</v>
      </c>
      <c r="C29" t="s">
        <v>84</v>
      </c>
      <c r="D29" t="s">
        <v>85</v>
      </c>
    </row>
    <row r="30" spans="1:4" ht="14.4" customHeight="1" x14ac:dyDescent="0.3">
      <c r="A30">
        <v>232847</v>
      </c>
      <c r="B30" t="s">
        <v>37</v>
      </c>
      <c r="C30" t="s">
        <v>86</v>
      </c>
      <c r="D30" t="s">
        <v>87</v>
      </c>
    </row>
    <row r="31" spans="1:4" ht="14.4" customHeight="1" x14ac:dyDescent="0.3">
      <c r="A31">
        <v>209136</v>
      </c>
      <c r="B31" t="s">
        <v>56</v>
      </c>
      <c r="C31" t="s">
        <v>88</v>
      </c>
      <c r="D31" t="s">
        <v>89</v>
      </c>
    </row>
    <row r="32" spans="1:4" ht="14.4" customHeight="1" x14ac:dyDescent="0.3">
      <c r="A32">
        <v>207077</v>
      </c>
      <c r="B32" t="s">
        <v>90</v>
      </c>
      <c r="C32" t="s">
        <v>91</v>
      </c>
      <c r="D32" t="s">
        <v>92</v>
      </c>
    </row>
    <row r="33" spans="1:4" ht="14.4" customHeight="1" x14ac:dyDescent="0.3">
      <c r="A33">
        <v>206148</v>
      </c>
      <c r="B33" t="s">
        <v>93</v>
      </c>
      <c r="C33" t="s">
        <v>94</v>
      </c>
      <c r="D33" t="s">
        <v>95</v>
      </c>
    </row>
    <row r="34" spans="1:4" ht="14.4" customHeight="1" x14ac:dyDescent="0.3">
      <c r="A34">
        <v>208776</v>
      </c>
      <c r="B34" t="s">
        <v>61</v>
      </c>
      <c r="C34" t="s">
        <v>96</v>
      </c>
      <c r="D34" t="s">
        <v>97</v>
      </c>
    </row>
    <row r="35" spans="1:4" ht="14.4" customHeight="1" x14ac:dyDescent="0.3">
      <c r="A35">
        <v>205551</v>
      </c>
      <c r="B35" t="s">
        <v>12</v>
      </c>
      <c r="C35" t="s">
        <v>98</v>
      </c>
      <c r="D35" t="s">
        <v>99</v>
      </c>
    </row>
    <row r="36" spans="1:4" ht="14.4" customHeight="1" x14ac:dyDescent="0.3">
      <c r="A36">
        <v>208485</v>
      </c>
      <c r="B36" t="s">
        <v>37</v>
      </c>
      <c r="C36" t="s">
        <v>38</v>
      </c>
      <c r="D36" t="s">
        <v>39</v>
      </c>
    </row>
    <row r="37" spans="1:4" ht="14.4" customHeight="1" x14ac:dyDescent="0.3">
      <c r="A37">
        <v>206280</v>
      </c>
      <c r="B37" t="s">
        <v>100</v>
      </c>
      <c r="C37" t="s">
        <v>101</v>
      </c>
      <c r="D37" t="s">
        <v>102</v>
      </c>
    </row>
    <row r="38" spans="1:4" ht="14.4" customHeight="1" x14ac:dyDescent="0.3">
      <c r="A38">
        <v>205750</v>
      </c>
      <c r="B38" t="s">
        <v>103</v>
      </c>
      <c r="C38" t="s">
        <v>104</v>
      </c>
      <c r="D38" t="s">
        <v>105</v>
      </c>
    </row>
    <row r="39" spans="1:4" ht="14.4" customHeight="1" x14ac:dyDescent="0.3">
      <c r="A39">
        <v>208622</v>
      </c>
      <c r="B39" t="s">
        <v>21</v>
      </c>
      <c r="C39" t="s">
        <v>106</v>
      </c>
      <c r="D39" t="s">
        <v>107</v>
      </c>
    </row>
    <row r="40" spans="1:4" ht="14.4" customHeight="1" x14ac:dyDescent="0.3">
      <c r="A40">
        <v>208657</v>
      </c>
      <c r="B40" t="s">
        <v>37</v>
      </c>
      <c r="C40" t="s">
        <v>38</v>
      </c>
      <c r="D40" t="s">
        <v>108</v>
      </c>
    </row>
    <row r="41" spans="1:4" ht="14.4" customHeight="1" x14ac:dyDescent="0.3">
      <c r="A41">
        <v>209385</v>
      </c>
      <c r="B41" t="s">
        <v>32</v>
      </c>
      <c r="C41" t="s">
        <v>109</v>
      </c>
      <c r="D41" t="s">
        <v>110</v>
      </c>
    </row>
    <row r="42" spans="1:4" ht="14.4" customHeight="1" x14ac:dyDescent="0.3">
      <c r="A42">
        <v>205505</v>
      </c>
      <c r="B42" t="s">
        <v>103</v>
      </c>
      <c r="C42" t="s">
        <v>111</v>
      </c>
      <c r="D42" t="s">
        <v>112</v>
      </c>
    </row>
    <row r="43" spans="1:4" ht="14.4" customHeight="1" x14ac:dyDescent="0.3">
      <c r="A43">
        <v>207238</v>
      </c>
      <c r="B43" t="s">
        <v>113</v>
      </c>
      <c r="C43" t="s">
        <v>114</v>
      </c>
      <c r="D43" t="s">
        <v>115</v>
      </c>
    </row>
    <row r="44" spans="1:4" ht="14.4" customHeight="1" x14ac:dyDescent="0.3">
      <c r="A44">
        <v>207561</v>
      </c>
      <c r="B44" t="s">
        <v>116</v>
      </c>
      <c r="C44" t="s">
        <v>117</v>
      </c>
      <c r="D44" t="s">
        <v>118</v>
      </c>
    </row>
    <row r="45" spans="1:4" ht="14.4" customHeight="1" x14ac:dyDescent="0.3">
      <c r="A45">
        <v>206872</v>
      </c>
      <c r="B45" t="s">
        <v>119</v>
      </c>
      <c r="C45" t="s">
        <v>120</v>
      </c>
      <c r="D45" t="s">
        <v>121</v>
      </c>
    </row>
    <row r="46" spans="1:4" ht="14.4" customHeight="1" x14ac:dyDescent="0.3">
      <c r="A46">
        <v>208511</v>
      </c>
      <c r="B46" t="s">
        <v>37</v>
      </c>
      <c r="C46" t="s">
        <v>38</v>
      </c>
      <c r="D46" t="s">
        <v>122</v>
      </c>
    </row>
    <row r="47" spans="1:4" ht="14.4" customHeight="1" x14ac:dyDescent="0.3">
      <c r="A47">
        <v>222031</v>
      </c>
      <c r="B47" t="s">
        <v>18</v>
      </c>
      <c r="C47" t="s">
        <v>123</v>
      </c>
      <c r="D47" t="s">
        <v>124</v>
      </c>
    </row>
    <row r="48" spans="1:4" ht="14.4" customHeight="1" x14ac:dyDescent="0.3">
      <c r="A48">
        <v>209491</v>
      </c>
      <c r="B48" t="s">
        <v>32</v>
      </c>
      <c r="C48" t="s">
        <v>125</v>
      </c>
      <c r="D48" t="s">
        <v>126</v>
      </c>
    </row>
    <row r="49" spans="1:4" ht="14.4" customHeight="1" x14ac:dyDescent="0.3">
      <c r="A49">
        <v>208624</v>
      </c>
      <c r="B49" t="s">
        <v>21</v>
      </c>
      <c r="C49" t="s">
        <v>106</v>
      </c>
      <c r="D49" t="s">
        <v>107</v>
      </c>
    </row>
    <row r="50" spans="1:4" ht="14.4" customHeight="1" x14ac:dyDescent="0.3">
      <c r="A50">
        <v>207259</v>
      </c>
      <c r="B50" t="s">
        <v>127</v>
      </c>
      <c r="C50" t="s">
        <v>128</v>
      </c>
      <c r="D50" t="s">
        <v>129</v>
      </c>
    </row>
    <row r="51" spans="1:4" ht="14.4" customHeight="1" x14ac:dyDescent="0.3">
      <c r="A51">
        <v>208777</v>
      </c>
      <c r="B51" t="s">
        <v>37</v>
      </c>
      <c r="C51" t="s">
        <v>130</v>
      </c>
      <c r="D51" t="s">
        <v>131</v>
      </c>
    </row>
  </sheetData>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Home</vt:lpstr>
      <vt:lpstr>Similaridade</vt:lpstr>
      <vt:lpstr>InfracoesData</vt:lpstr>
      <vt:lpstr>dynSim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Hugo Mentzingen</dc:creator>
  <cp:lastModifiedBy>Hugo Mentzingen</cp:lastModifiedBy>
  <dcterms:created xsi:type="dcterms:W3CDTF">2021-02-18T16:49:34Z</dcterms:created>
  <dcterms:modified xsi:type="dcterms:W3CDTF">2021-06-18T10:46:36Z</dcterms:modified>
</cp:coreProperties>
</file>